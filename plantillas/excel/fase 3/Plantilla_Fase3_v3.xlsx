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a" sheetId="1" state="visible" r:id="rId1"/>
    <sheet xmlns:r="http://schemas.openxmlformats.org/officeDocument/2006/relationships" name="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000000"/>
      <sz val="9"/>
    </font>
    <font>
      <name val="Arial"/>
      <color rgb="000000CD"/>
      <sz val="10"/>
    </font>
    <font>
      <name val="Arial"/>
      <i val="1"/>
      <color rgb="00595959"/>
      <sz val="8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9"/>
    </font>
    <font>
      <name val="Arial"/>
      <i val="1"/>
      <color rgb="00C00000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FD700"/>
      </patternFill>
    </fill>
    <fill>
      <patternFill patternType="solid">
        <fgColor rgb="00F2F2F2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1" fontId="3" fillId="4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6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7" fillId="2" borderId="1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center" vertical="center"/>
    </xf>
    <xf numFmtId="0" fontId="0" fillId="8" borderId="2" pivotButton="0" quotePrefix="0" xfId="0"/>
    <xf numFmtId="0" fontId="8" fillId="3" borderId="2" applyAlignment="1" pivotButton="0" quotePrefix="0" xfId="0">
      <alignment horizontal="left" vertical="center"/>
    </xf>
    <xf numFmtId="10" fontId="3" fillId="4" borderId="2" applyAlignment="1" pivotButton="0" quotePrefix="0" xfId="0">
      <alignment horizontal="center" vertical="center"/>
    </xf>
    <xf numFmtId="0" fontId="0" fillId="3" borderId="2" pivotButton="0" quotePrefix="0" xfId="0"/>
    <xf numFmtId="4" fontId="3" fillId="4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0" fillId="7" borderId="2" pivotButton="0" quotePrefix="0" xfId="0"/>
    <xf numFmtId="10" fontId="8" fillId="9" borderId="2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1" fontId="11" fillId="8" borderId="2" applyAlignment="1" pivotButton="0" quotePrefix="0" xfId="0">
      <alignment horizontal="center" vertical="center"/>
    </xf>
    <xf numFmtId="1" fontId="11" fillId="10" borderId="2" applyAlignment="1" pivotButton="0" quotePrefix="0" xfId="0">
      <alignment horizontal="center" vertical="center"/>
    </xf>
    <xf numFmtId="3" fontId="8" fillId="3" borderId="2" applyAlignment="1" pivotButton="0" quotePrefix="0" xfId="0">
      <alignment horizontal="center" vertical="center"/>
    </xf>
    <xf numFmtId="3" fontId="8" fillId="10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4" fontId="10" fillId="9" borderId="2" applyAlignment="1" pivotButton="0" quotePrefix="0" xfId="0">
      <alignment horizontal="center" vertical="center"/>
    </xf>
    <xf numFmtId="0" fontId="0" fillId="9" borderId="2" pivotButton="0" quotePrefix="0" xfId="0"/>
    <xf numFmtId="0" fontId="5" fillId="5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/>
    </xf>
    <xf numFmtId="10" fontId="3" fillId="7" borderId="2" applyAlignment="1" pivotButton="0" quotePrefix="0" xfId="0">
      <alignment horizontal="center" vertical="center"/>
    </xf>
    <xf numFmtId="3" fontId="8" fillId="7" borderId="2" applyAlignment="1" pivotButton="0" quotePrefix="0" xfId="0">
      <alignment horizontal="center" vertical="center"/>
    </xf>
    <xf numFmtId="3" fontId="8" fillId="8" borderId="2" applyAlignment="1" pivotButton="0" quotePrefix="0" xfId="0">
      <alignment horizontal="center" vertical="center"/>
    </xf>
    <xf numFmtId="10" fontId="8" fillId="7" borderId="2" applyAlignment="1" pivotButton="0" quotePrefix="0" xfId="0">
      <alignment horizontal="center" vertical="center"/>
    </xf>
    <xf numFmtId="10" fontId="8" fillId="3" borderId="2" applyAlignment="1" pivotButton="0" quotePrefix="0" xfId="0">
      <alignment horizontal="center" vertical="center"/>
    </xf>
    <xf numFmtId="3" fontId="10" fillId="9" borderId="2" applyAlignment="1" pivotButton="0" quotePrefix="0" xfId="0">
      <alignment horizontal="center" vertical="center"/>
    </xf>
    <xf numFmtId="4" fontId="8" fillId="7" borderId="2" applyAlignment="1" pivotButton="0" quotePrefix="0" xfId="0">
      <alignment horizontal="center" vertical="center"/>
    </xf>
    <xf numFmtId="4" fontId="8" fillId="3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/>
    </xf>
    <xf numFmtId="3" fontId="10" fillId="6" borderId="2" applyAlignment="1" pivotButton="0" quotePrefix="0" xfId="0">
      <alignment horizontal="center" vertical="center"/>
    </xf>
    <xf numFmtId="10" fontId="3" fillId="3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3" fontId="10" fillId="8" borderId="2" applyAlignment="1" pivotButton="0" quotePrefix="0" xfId="0">
      <alignment horizontal="center" vertical="center"/>
    </xf>
    <xf numFmtId="0" fontId="0" fillId="6" borderId="2" pivotButton="0" quotePrefix="0" xfId="0"/>
    <xf numFmtId="0" fontId="3" fillId="4" borderId="2" applyAlignment="1" pivotButton="0" quotePrefix="0" xfId="0">
      <alignment horizontal="left" vertical="center"/>
    </xf>
    <xf numFmtId="0" fontId="9" fillId="2" borderId="2" applyAlignment="1" pivotButton="0" quotePrefix="0" xfId="0">
      <alignment horizontal="center" vertical="center"/>
    </xf>
    <xf numFmtId="10" fontId="9" fillId="7" borderId="2" applyAlignment="1" pivotButton="0" quotePrefix="0" xfId="0">
      <alignment horizontal="center" vertical="center"/>
    </xf>
    <xf numFmtId="3" fontId="9" fillId="2" borderId="2" applyAlignment="1" pivotButton="0" quotePrefix="0" xfId="0">
      <alignment horizontal="center" vertical="center"/>
    </xf>
    <xf numFmtId="0" fontId="12" fillId="3" borderId="0" pivotButton="0" quotePrefix="0" xfId="0"/>
    <xf numFmtId="49" fontId="10" fillId="7" borderId="2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/>
    </xf>
    <xf numFmtId="4" fontId="3" fillId="12" borderId="2" applyAlignment="1" pivotButton="0" quotePrefix="0" xfId="0">
      <alignment horizontal="center" vertical="center"/>
    </xf>
    <xf numFmtId="4" fontId="8" fillId="8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0" fillId="2" borderId="2" pivotButton="0" quotePrefix="0" xfId="0"/>
    <xf numFmtId="4" fontId="7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0" fontId="3" fillId="4" borderId="2" applyAlignment="1" pivotButton="0" quotePrefix="0" xfId="0">
      <alignment horizontal="center" vertical="center"/>
    </xf>
    <xf numFmtId="10" fontId="8" fillId="9" borderId="2" applyAlignment="1" pivotButton="0" quotePrefix="0" xfId="0">
      <alignment horizontal="center" vertical="center"/>
    </xf>
    <xf numFmtId="10" fontId="10" fillId="6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10" fontId="9" fillId="2" borderId="2" applyAlignment="1" pivotButton="0" quotePrefix="0" xfId="0">
      <alignment horizontal="center" vertical="center"/>
    </xf>
    <xf numFmtId="3" fontId="9" fillId="2" borderId="2" applyAlignment="1" pivotButton="0" quotePrefix="0" xfId="0">
      <alignment horizontal="center" vertical="center"/>
    </xf>
    <xf numFmtId="49" fontId="1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28" customWidth="1" min="13" max="13"/>
  </cols>
  <sheetData>
    <row r="1" ht="28" customHeight="1">
      <c r="A1" s="1" t="inlineStr">
        <is>
          <t>FASE 3 — ESTUDIO DE MERCADO: DEMANDA, OFERTA Y DEMANDA INSATISFECHA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1" t="n"/>
      <c r="K1" s="61" t="n"/>
      <c r="L1" s="61" t="n"/>
      <c r="M1" s="62" t="n"/>
    </row>
    <row r="2" ht="16" customHeight="1">
      <c r="B2" s="2" t="inlineStr">
        <is>
          <t>Año base (último año histórico disponible):</t>
        </is>
      </c>
      <c r="C2" s="3" t="n">
        <v>2023</v>
      </c>
      <c r="E2" s="4" t="inlineStr">
        <is>
          <t>ℹ  Cambia solo esta celda → todos los encabezados de año se actualizan automáticamente</t>
        </is>
      </c>
    </row>
    <row r="3" ht="14" customHeight="1">
      <c r="B3" s="5" t="inlineStr">
        <is>
          <t>◄  DATOS HISTÓRICOS  (Año 1 – Año 5)</t>
        </is>
      </c>
      <c r="H3" s="7" t="inlineStr">
        <is>
          <t>►  PROYECCIÓN DEL PROYECTO  (Año 6 – Año 10)</t>
        </is>
      </c>
      <c r="M3" s="8" t="n"/>
    </row>
    <row r="4"/>
    <row r="5" ht="20" customHeight="1">
      <c r="B5" s="9" t="inlineStr">
        <is>
          <t>1. PARÁMETROS DE SEGMENTACIÓN  (completar celdas amarillas — un único valor por parámetro)</t>
        </is>
      </c>
      <c r="C5" s="61" t="n"/>
      <c r="D5" s="61" t="n"/>
      <c r="E5" s="61" t="n"/>
      <c r="F5" s="61" t="n"/>
      <c r="G5" s="61" t="n"/>
      <c r="H5" s="61" t="n"/>
      <c r="I5" s="61" t="n"/>
      <c r="J5" s="61" t="n"/>
      <c r="K5" s="61" t="n"/>
      <c r="L5" s="61" t="n"/>
      <c r="M5" s="62" t="n"/>
    </row>
    <row r="6" ht="16" customHeight="1">
      <c r="B6" s="54" t="inlineStr">
        <is>
          <t>Población de la ciudad (año base)</t>
        </is>
      </c>
      <c r="C6" s="11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4" t="inlineStr">
        <is>
          <t>Dato INE — proyección intercensal</t>
        </is>
      </c>
    </row>
    <row r="7" ht="16" customHeight="1">
      <c r="B7" s="57" t="inlineStr">
        <is>
          <t>% Población rango etario objetivo</t>
        </is>
      </c>
      <c r="C7" s="14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4" t="inlineStr">
        <is>
          <t>Ej: 18-70 años → 58.97%</t>
        </is>
      </c>
    </row>
    <row r="8" ht="16" customHeight="1">
      <c r="B8" s="54" t="inlineStr">
        <is>
          <t>% Extracto económico objetivo (ABC1 / NSE)</t>
        </is>
      </c>
      <c r="C8" s="14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4" t="inlineStr">
        <is>
          <t>Ej: estrato medio-alto → 21%</t>
        </is>
      </c>
    </row>
    <row r="9" ht="16" customHeight="1">
      <c r="B9" s="57" t="inlineStr">
        <is>
          <t>% Que consume el producto/servicio</t>
        </is>
      </c>
      <c r="C9" s="14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4" t="inlineStr">
        <is>
          <t>Dato de encuesta (P5 aceptación) → ej: 89.84%</t>
        </is>
      </c>
    </row>
    <row r="10" ht="16" customHeight="1">
      <c r="B10" s="54" t="inlineStr">
        <is>
          <t>% Con ingreso suficiente (filtro compra)</t>
        </is>
      </c>
      <c r="C10" s="14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4" t="inlineStr">
        <is>
          <t>Dato encuesta (P11 ingreso) → ej: 48.44%</t>
        </is>
      </c>
    </row>
    <row r="11" ht="16" customHeight="1">
      <c r="B11" s="57" t="inlineStr">
        <is>
          <t>Frecuencia de compra (veces / año)</t>
        </is>
      </c>
      <c r="C11" s="16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4" t="inlineStr">
        <is>
          <t>Dato encuesta (P8) → ej: 60.35</t>
        </is>
      </c>
    </row>
    <row r="12" ht="16" customHeight="1">
      <c r="B12" s="54" t="inlineStr">
        <is>
          <t>Consumo per cápita (productos / visita)</t>
        </is>
      </c>
      <c r="C12" s="16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4" t="inlineStr">
        <is>
          <t>Dato encuesta → ej: 2.27</t>
        </is>
      </c>
    </row>
    <row r="13"/>
    <row r="14" ht="20" customHeight="1">
      <c r="B14" s="9" t="inlineStr">
        <is>
          <t>2. DEMANDA HISTÓRICA  (ingresar los valores de los 5 años anteriores al inicio del proyecto)</t>
        </is>
      </c>
      <c r="C14" s="61" t="n"/>
      <c r="D14" s="61" t="n"/>
      <c r="E14" s="61" t="n"/>
      <c r="F14" s="61" t="n"/>
      <c r="G14" s="61" t="n"/>
      <c r="H14" s="61" t="n"/>
      <c r="I14" s="61" t="n"/>
      <c r="J14" s="61" t="n"/>
      <c r="K14" s="61" t="n"/>
      <c r="L14" s="61" t="n"/>
      <c r="M14" s="62" t="n"/>
    </row>
    <row r="15" ht="26" customHeight="1">
      <c r="B15" s="17" t="inlineStr">
        <is>
          <t>Detalle</t>
        </is>
      </c>
      <c r="C15" s="17">
        <f>"Año 1 ("&amp;TEXT($C$2+(-4),"0")&amp;")"</f>
        <v/>
      </c>
      <c r="D15" s="17">
        <f>"Año 2 ("&amp;TEXT($C$2+(-3),"0")&amp;")"</f>
        <v/>
      </c>
      <c r="E15" s="17">
        <f>"Año 3 ("&amp;TEXT($C$2+(-2),"0")&amp;")"</f>
        <v/>
      </c>
      <c r="F15" s="17">
        <f>"Año 4 ("&amp;TEXT($C$2+(-1),"0")&amp;")"</f>
        <v/>
      </c>
      <c r="G15" s="17">
        <f>"Año 5 ("&amp;TEXT($C$2+(0),"0")&amp;")"</f>
        <v/>
      </c>
      <c r="H15" s="18">
        <f>"Año 6 ("&amp;TEXT($C$2+(1),"0")&amp;")"</f>
        <v/>
      </c>
      <c r="I15" s="18">
        <f>"Año 7 ("&amp;TEXT($C$2+(2),"0")&amp;")"</f>
        <v/>
      </c>
      <c r="J15" s="18">
        <f>"Año 8 ("&amp;TEXT($C$2+(3),"0")&amp;")"</f>
        <v/>
      </c>
      <c r="K15" s="18">
        <f>"Año 9 ("&amp;TEXT($C$2+(4),"0")&amp;")"</f>
        <v/>
      </c>
      <c r="L15" s="18">
        <f>"Año 10 ("&amp;TEXT($C$2+(5),"0")&amp;")"</f>
        <v/>
      </c>
      <c r="M15" s="17" t="inlineStr">
        <is>
          <t>Observaciones</t>
        </is>
      </c>
    </row>
    <row r="16" ht="16" customHeight="1">
      <c r="B16" s="54" t="inlineStr">
        <is>
          <t>Demanda histórica (unidades / productos)</t>
        </is>
      </c>
      <c r="C16" s="11" t="n"/>
      <c r="D16" s="11" t="n"/>
      <c r="E16" s="11" t="n"/>
      <c r="F16" s="11" t="n"/>
      <c r="G16" s="11" t="n"/>
      <c r="H16" s="19" t="n"/>
      <c r="I16" s="19" t="n"/>
      <c r="J16" s="19" t="n"/>
      <c r="K16" s="19" t="n"/>
      <c r="L16" s="19" t="n"/>
      <c r="M16" s="4" t="inlineStr">
        <is>
          <t>Ingresar dato de consumo (INE, encuesta, gremio, etc.)</t>
        </is>
      </c>
    </row>
    <row r="17" ht="16" customHeight="1">
      <c r="B17" s="57" t="inlineStr">
        <is>
          <t>Tasa de crecimiento interanual</t>
        </is>
      </c>
      <c r="C17" s="19" t="n"/>
      <c r="D17" s="20">
        <f>IFERROR(D16/C16-1,"")</f>
        <v/>
      </c>
      <c r="E17" s="20">
        <f>IFERROR(E16/D16-1,"")</f>
        <v/>
      </c>
      <c r="F17" s="20">
        <f>IFERROR(F16/E16-1,"")</f>
        <v/>
      </c>
      <c r="G17" s="20">
        <f>IFERROR(G16/F16-1,"")</f>
        <v/>
      </c>
      <c r="H17" s="19" t="n"/>
      <c r="I17" s="19" t="n"/>
      <c r="J17" s="19" t="n"/>
      <c r="K17" s="19" t="n"/>
      <c r="L17" s="19" t="n"/>
      <c r="M17" s="4" t="inlineStr">
        <is>
          <t>Calculado automáticamente</t>
        </is>
      </c>
    </row>
    <row r="18"/>
    <row r="19" ht="18" customHeight="1">
      <c r="B19" s="21" t="inlineStr">
        <is>
          <t>2b. REGRESIÓN LINEAL  Y = a + bX   (proyecta la demanda histórica hacia Año 6–10)</t>
        </is>
      </c>
      <c r="C19" s="61" t="n"/>
      <c r="D19" s="61" t="n"/>
      <c r="E19" s="61" t="n"/>
      <c r="F19" s="61" t="n"/>
      <c r="G19" s="61" t="n"/>
      <c r="H19" s="61" t="n"/>
      <c r="I19" s="61" t="n"/>
      <c r="J19" s="61" t="n"/>
      <c r="K19" s="61" t="n"/>
      <c r="L19" s="61" t="n"/>
      <c r="M19" s="62" t="n"/>
    </row>
    <row r="20" ht="18" customHeight="1">
      <c r="B20" s="17" t="inlineStr">
        <is>
          <t>Concepto</t>
        </is>
      </c>
      <c r="C20" s="17" t="inlineStr">
        <is>
          <t>Xi valor</t>
        </is>
      </c>
      <c r="D20" s="17" t="inlineStr">
        <is>
          <t>Año 1</t>
        </is>
      </c>
      <c r="E20" s="17" t="inlineStr">
        <is>
          <t>Año 2</t>
        </is>
      </c>
      <c r="F20" s="17" t="inlineStr">
        <is>
          <t>Año 3</t>
        </is>
      </c>
      <c r="G20" s="17" t="inlineStr">
        <is>
          <t>Año 4</t>
        </is>
      </c>
      <c r="H20" s="17" t="inlineStr">
        <is>
          <t>Año 5</t>
        </is>
      </c>
      <c r="I20" s="17" t="inlineStr">
        <is>
          <t>Año 6</t>
        </is>
      </c>
      <c r="J20" s="17" t="inlineStr">
        <is>
          <t>Año 7</t>
        </is>
      </c>
      <c r="K20" s="17" t="inlineStr">
        <is>
          <t>Año 8</t>
        </is>
      </c>
      <c r="L20" s="17" t="inlineStr">
        <is>
          <t>Año 9</t>
        </is>
      </c>
      <c r="M20" s="17" t="inlineStr">
        <is>
          <t>Año 10</t>
        </is>
      </c>
      <c r="N20" s="17" t="inlineStr"/>
    </row>
    <row r="21" ht="16" customHeight="1">
      <c r="B21" s="54" t="inlineStr">
        <is>
          <t>Xi  (período correlativo)</t>
        </is>
      </c>
      <c r="C21" s="22" t="n">
        <v>1</v>
      </c>
      <c r="D21" s="22" t="n">
        <v>2</v>
      </c>
      <c r="E21" s="22" t="n">
        <v>3</v>
      </c>
      <c r="F21" s="22" t="n">
        <v>4</v>
      </c>
      <c r="G21" s="22" t="n">
        <v>5</v>
      </c>
      <c r="H21" s="23" t="n">
        <v>6</v>
      </c>
      <c r="I21" s="23" t="n">
        <v>7</v>
      </c>
      <c r="J21" s="23" t="n">
        <v>8</v>
      </c>
      <c r="K21" s="23" t="n">
        <v>9</v>
      </c>
      <c r="L21" s="23" t="n">
        <v>10</v>
      </c>
      <c r="M21" s="19" t="n"/>
    </row>
    <row r="22" ht="16" customHeight="1">
      <c r="B22" s="57" t="inlineStr">
        <is>
          <t>Yi  (demanda histórica)</t>
        </is>
      </c>
      <c r="C22" s="24">
        <f>C16</f>
        <v/>
      </c>
      <c r="D22" s="24">
        <f>D16</f>
        <v/>
      </c>
      <c r="E22" s="24">
        <f>E16</f>
        <v/>
      </c>
      <c r="F22" s="24">
        <f>F16</f>
        <v/>
      </c>
      <c r="G22" s="24">
        <f>G16</f>
        <v/>
      </c>
      <c r="H22" s="25">
        <f>IFERROR(ROUND($C$24+$C$23*6,0),0)</f>
        <v/>
      </c>
      <c r="I22" s="25">
        <f>IFERROR(ROUND($C$24+$C$23*7,0),0)</f>
        <v/>
      </c>
      <c r="J22" s="25">
        <f>IFERROR(ROUND($C$24+$C$23*8,0),0)</f>
        <v/>
      </c>
      <c r="K22" s="25">
        <f>IFERROR(ROUND($C$24+$C$23*9,0),0)</f>
        <v/>
      </c>
      <c r="L22" s="25">
        <f>IFERROR(ROUND($C$24+$C$23*10,0),0)</f>
        <v/>
      </c>
      <c r="M22" s="19" t="n"/>
    </row>
    <row r="23" ht="16" customHeight="1">
      <c r="B23" s="26" t="inlineStr">
        <is>
          <t>Pendiente  b  =</t>
        </is>
      </c>
      <c r="C23" s="27">
        <f>IFERROR(SLOPE(C22:G22,C21:G21),0)</f>
        <v/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19" t="n"/>
    </row>
    <row r="24" ht="16" customHeight="1">
      <c r="B24" s="26" t="inlineStr">
        <is>
          <t>Intercepto  a  =</t>
        </is>
      </c>
      <c r="C24" s="27">
        <f>IFERROR(INTERCEPT(C22:G22,C21:G21),0)</f>
        <v/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19" t="n"/>
    </row>
    <row r="25"/>
    <row r="26" ht="20" customHeight="1">
      <c r="B26" s="9" t="inlineStr">
        <is>
          <t>3. CÁLCULO ESCALONADO — DEMANDA POTENCIAL → DISPONIBLE → EFECTIVA  (proyección Año 6–10)</t>
        </is>
      </c>
      <c r="C26" s="61" t="n"/>
      <c r="D26" s="61" t="n"/>
      <c r="E26" s="61" t="n"/>
      <c r="F26" s="61" t="n"/>
      <c r="G26" s="61" t="n"/>
      <c r="H26" s="61" t="n"/>
      <c r="I26" s="61" t="n"/>
      <c r="J26" s="61" t="n"/>
      <c r="K26" s="61" t="n"/>
      <c r="L26" s="61" t="n"/>
      <c r="M26" s="62" t="n"/>
    </row>
    <row r="27" ht="26" customHeight="1">
      <c r="B27" s="17" t="inlineStr">
        <is>
          <t>Detalle</t>
        </is>
      </c>
      <c r="C27" s="18" t="inlineStr">
        <is>
          <t>Parámetro</t>
        </is>
      </c>
      <c r="D27" s="19" t="n"/>
      <c r="E27" s="19" t="n"/>
      <c r="F27" s="19" t="n"/>
      <c r="G27" s="19" t="n"/>
      <c r="H27" s="29">
        <f>"Año 6 ("&amp;TEXT($C$2+(1),"0")&amp;")"</f>
        <v/>
      </c>
      <c r="I27" s="29">
        <f>"Año 7 ("&amp;TEXT($C$2+(2),"0")&amp;")"</f>
        <v/>
      </c>
      <c r="J27" s="29">
        <f>"Año 8 ("&amp;TEXT($C$2+(3),"0")&amp;")"</f>
        <v/>
      </c>
      <c r="K27" s="29">
        <f>"Año 9 ("&amp;TEXT($C$2+(4),"0")&amp;")"</f>
        <v/>
      </c>
      <c r="L27" s="29">
        <f>"Año 10 ("&amp;TEXT($C$2+(5),"0")&amp;")"</f>
        <v/>
      </c>
      <c r="M27" s="17" t="inlineStr">
        <is>
          <t>Observaciones</t>
        </is>
      </c>
    </row>
    <row r="28" ht="16" customHeight="1">
      <c r="B28" s="30" t="inlineStr">
        <is>
          <t>Tasa de crecimiento población (%/año)</t>
        </is>
      </c>
      <c r="C28" s="31" t="n">
        <v>0.02</v>
      </c>
      <c r="D28" s="19" t="n"/>
      <c r="E28" s="19" t="n"/>
      <c r="F28" s="19" t="n"/>
      <c r="G28" s="19" t="n"/>
      <c r="H28" s="15" t="n"/>
      <c r="I28" s="15" t="n"/>
      <c r="J28" s="15" t="n"/>
      <c r="K28" s="15" t="n"/>
      <c r="L28" s="15" t="n"/>
      <c r="M28" s="4" t="inlineStr">
        <is>
          <t>Dato INE — tasa intercensal promedio</t>
        </is>
      </c>
    </row>
    <row r="29" ht="16" customHeight="1">
      <c r="B29" s="54" t="inlineStr">
        <is>
          <t>Población ciudad  (proyectada)</t>
        </is>
      </c>
      <c r="C29" s="32">
        <f>C6</f>
        <v/>
      </c>
      <c r="D29" s="19" t="n"/>
      <c r="E29" s="19" t="n"/>
      <c r="F29" s="19" t="n"/>
      <c r="G29" s="19" t="n"/>
      <c r="H29" s="33">
        <f>IFERROR(ROUND(C29*(1+$C$28)^1,0),0)</f>
        <v/>
      </c>
      <c r="I29" s="33">
        <f>IFERROR(ROUND(C29*(1+$C$28)^2,0),0)</f>
        <v/>
      </c>
      <c r="J29" s="33">
        <f>IFERROR(ROUND(C29*(1+$C$28)^3,0),0)</f>
        <v/>
      </c>
      <c r="K29" s="33">
        <f>IFERROR(ROUND(C29*(1+$C$28)^4,0),0)</f>
        <v/>
      </c>
      <c r="L29" s="33">
        <f>IFERROR(ROUND(C29*(1+$C$28)^5,0),0)</f>
        <v/>
      </c>
      <c r="M29" s="4" t="inlineStr">
        <is>
          <t>Pob. año base × (1+tasa)ⁿ</t>
        </is>
      </c>
    </row>
    <row r="30" ht="16" customHeight="1">
      <c r="B30" s="57" t="inlineStr">
        <is>
          <t xml:space="preserve">  × % Rango etario objetivo</t>
        </is>
      </c>
      <c r="C30" s="34">
        <f>C7</f>
        <v/>
      </c>
      <c r="D30" s="19" t="n"/>
      <c r="E30" s="19" t="n"/>
      <c r="F30" s="19" t="n"/>
      <c r="G30" s="19" t="n"/>
      <c r="H30" s="35">
        <f>$C$7</f>
        <v/>
      </c>
      <c r="I30" s="35">
        <f>$C$7</f>
        <v/>
      </c>
      <c r="J30" s="35">
        <f>$C$7</f>
        <v/>
      </c>
      <c r="K30" s="35">
        <f>$C$7</f>
        <v/>
      </c>
      <c r="L30" s="35">
        <f>$C$7</f>
        <v/>
      </c>
      <c r="M30" s="4">
        <f>C$7</f>
        <v/>
      </c>
    </row>
    <row r="31" ht="16" customHeight="1">
      <c r="B31" s="26" t="inlineStr">
        <is>
          <t>▶ POBLACIÓN POTENCIAL</t>
        </is>
      </c>
      <c r="C31" s="34">
        <f>C31</f>
        <v/>
      </c>
      <c r="D31" s="19" t="n"/>
      <c r="E31" s="19" t="n"/>
      <c r="F31" s="19" t="n"/>
      <c r="G31" s="19" t="n"/>
      <c r="H31" s="36">
        <f>ROUND(H29*$C$7,0)</f>
        <v/>
      </c>
      <c r="I31" s="36">
        <f>ROUND(I29*$C$7,0)</f>
        <v/>
      </c>
      <c r="J31" s="36">
        <f>ROUND(J29*$C$7,0)</f>
        <v/>
      </c>
      <c r="K31" s="36">
        <f>ROUND(K29*$C$7,0)</f>
        <v/>
      </c>
      <c r="L31" s="36">
        <f>ROUND(L29*$C$7,0)</f>
        <v/>
      </c>
      <c r="M31" s="4" t="inlineStr">
        <is>
          <t>Pob. ciudad × % etario</t>
        </is>
      </c>
    </row>
    <row r="32" ht="16" customHeight="1">
      <c r="B32" s="57" t="inlineStr">
        <is>
          <t xml:space="preserve">  × % Extracto económico (ABC1)</t>
        </is>
      </c>
      <c r="C32" s="34">
        <f>C8</f>
        <v/>
      </c>
      <c r="D32" s="19" t="n"/>
      <c r="E32" s="19" t="n"/>
      <c r="F32" s="19" t="n"/>
      <c r="G32" s="19" t="n"/>
      <c r="H32" s="35">
        <f>$C$8</f>
        <v/>
      </c>
      <c r="I32" s="35">
        <f>$C$8</f>
        <v/>
      </c>
      <c r="J32" s="35">
        <f>$C$8</f>
        <v/>
      </c>
      <c r="K32" s="35">
        <f>$C$8</f>
        <v/>
      </c>
      <c r="L32" s="35">
        <f>$C$8</f>
        <v/>
      </c>
      <c r="M32" s="4">
        <f>C$8</f>
        <v/>
      </c>
    </row>
    <row r="33" ht="16" customHeight="1">
      <c r="B33" s="26" t="inlineStr">
        <is>
          <t>▶ POBLACIÓN DISPONIBLE</t>
        </is>
      </c>
      <c r="C33" s="34">
        <f>C33</f>
        <v/>
      </c>
      <c r="D33" s="19" t="n"/>
      <c r="E33" s="19" t="n"/>
      <c r="F33" s="19" t="n"/>
      <c r="G33" s="19" t="n"/>
      <c r="H33" s="36">
        <f>ROUND(H31*$C$8,0)</f>
        <v/>
      </c>
      <c r="I33" s="36">
        <f>ROUND(I31*$C$8,0)</f>
        <v/>
      </c>
      <c r="J33" s="36">
        <f>ROUND(J31*$C$8,0)</f>
        <v/>
      </c>
      <c r="K33" s="36">
        <f>ROUND(K31*$C$8,0)</f>
        <v/>
      </c>
      <c r="L33" s="36">
        <f>ROUND(L31*$C$8,0)</f>
        <v/>
      </c>
      <c r="M33" s="4" t="inlineStr">
        <is>
          <t>Pob. potencial × % ABC1</t>
        </is>
      </c>
    </row>
    <row r="34" ht="16" customHeight="1">
      <c r="B34" s="57" t="inlineStr">
        <is>
          <t xml:space="preserve">  × % Que consume el producto</t>
        </is>
      </c>
      <c r="C34" s="34">
        <f>C9</f>
        <v/>
      </c>
      <c r="D34" s="19" t="n"/>
      <c r="E34" s="19" t="n"/>
      <c r="F34" s="19" t="n"/>
      <c r="G34" s="19" t="n"/>
      <c r="H34" s="35">
        <f>$C$9</f>
        <v/>
      </c>
      <c r="I34" s="35">
        <f>$C$9</f>
        <v/>
      </c>
      <c r="J34" s="35">
        <f>$C$9</f>
        <v/>
      </c>
      <c r="K34" s="35">
        <f>$C$9</f>
        <v/>
      </c>
      <c r="L34" s="35">
        <f>$C$9</f>
        <v/>
      </c>
      <c r="M34" s="4">
        <f>C$9</f>
        <v/>
      </c>
    </row>
    <row r="35" ht="16" customHeight="1">
      <c r="B35" s="57" t="inlineStr">
        <is>
          <t xml:space="preserve">  × % Con ingreso suficiente</t>
        </is>
      </c>
      <c r="C35" s="34">
        <f>C10</f>
        <v/>
      </c>
      <c r="D35" s="19" t="n"/>
      <c r="E35" s="19" t="n"/>
      <c r="F35" s="19" t="n"/>
      <c r="G35" s="19" t="n"/>
      <c r="H35" s="35">
        <f>$C$10</f>
        <v/>
      </c>
      <c r="I35" s="35">
        <f>$C$10</f>
        <v/>
      </c>
      <c r="J35" s="35">
        <f>$C$10</f>
        <v/>
      </c>
      <c r="K35" s="35">
        <f>$C$10</f>
        <v/>
      </c>
      <c r="L35" s="35">
        <f>$C$10</f>
        <v/>
      </c>
      <c r="M35" s="4">
        <f>C$10</f>
        <v/>
      </c>
    </row>
    <row r="36" ht="16" customHeight="1">
      <c r="B36" s="26" t="inlineStr">
        <is>
          <t>▶ POBLACIÓN EFECTIVA</t>
        </is>
      </c>
      <c r="C36" s="34">
        <f>C36</f>
        <v/>
      </c>
      <c r="D36" s="19" t="n"/>
      <c r="E36" s="19" t="n"/>
      <c r="F36" s="19" t="n"/>
      <c r="G36" s="19" t="n"/>
      <c r="H36" s="36">
        <f>ROUND(H33*$C$9*$C$10,0)</f>
        <v/>
      </c>
      <c r="I36" s="36">
        <f>ROUND(I33*$C$9*$C$10,0)</f>
        <v/>
      </c>
      <c r="J36" s="36">
        <f>ROUND(J33*$C$9*$C$10,0)</f>
        <v/>
      </c>
      <c r="K36" s="36">
        <f>ROUND(K33*$C$9*$C$10,0)</f>
        <v/>
      </c>
      <c r="L36" s="36">
        <f>ROUND(L33*$C$9*$C$10,0)</f>
        <v/>
      </c>
      <c r="M36" s="4" t="inlineStr">
        <is>
          <t>Pob. disp × % consume × % ingreso</t>
        </is>
      </c>
    </row>
    <row r="37" ht="16" customHeight="1">
      <c r="B37" s="57" t="inlineStr">
        <is>
          <t xml:space="preserve">  × Demanda per cápita (frec × cons)</t>
        </is>
      </c>
      <c r="C37" s="37">
        <f>C11*C12</f>
        <v/>
      </c>
      <c r="D37" s="19" t="n"/>
      <c r="E37" s="19" t="n"/>
      <c r="F37" s="19" t="n"/>
      <c r="G37" s="19" t="n"/>
      <c r="H37" s="38">
        <f>$C$11*$C$12</f>
        <v/>
      </c>
      <c r="I37" s="38">
        <f>$C$11*$C$12</f>
        <v/>
      </c>
      <c r="J37" s="38">
        <f>$C$11*$C$12</f>
        <v/>
      </c>
      <c r="K37" s="38">
        <f>$C$11*$C$12</f>
        <v/>
      </c>
      <c r="L37" s="38">
        <f>$C$11*$C$12</f>
        <v/>
      </c>
      <c r="M37" s="4">
        <f>C$11*C$12</f>
        <v/>
      </c>
    </row>
    <row r="38" ht="16" customHeight="1">
      <c r="B38" s="39" t="inlineStr">
        <is>
          <t>▶ DEMANDA EFECTIVA  (productos/año)</t>
        </is>
      </c>
      <c r="C38" s="19" t="n"/>
      <c r="D38" s="19" t="n"/>
      <c r="E38" s="19" t="n"/>
      <c r="F38" s="19" t="n"/>
      <c r="G38" s="19" t="n"/>
      <c r="H38" s="40">
        <f>ROUND(H36*$C$11*$C$12,0)</f>
        <v/>
      </c>
      <c r="I38" s="40">
        <f>ROUND(I36*$C$11*$C$12,0)</f>
        <v/>
      </c>
      <c r="J38" s="40">
        <f>ROUND(J36*$C$11*$C$12,0)</f>
        <v/>
      </c>
      <c r="K38" s="40">
        <f>ROUND(K36*$C$11*$C$12,0)</f>
        <v/>
      </c>
      <c r="L38" s="40">
        <f>ROUND(L36*$C$11*$C$12,0)</f>
        <v/>
      </c>
      <c r="M38" s="4" t="inlineStr">
        <is>
          <t>Pob. efectiva × frec × consumo</t>
        </is>
      </c>
    </row>
    <row r="39"/>
    <row r="40" ht="20" customHeight="1">
      <c r="B40" s="9" t="inlineStr">
        <is>
          <t>4. OFERTA HISTÓRICA  (5 años)  Y  OFERTA PROYECTADA  (Año 6–10)</t>
        </is>
      </c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2" t="n"/>
    </row>
    <row r="41" ht="26" customHeight="1">
      <c r="B41" s="17" t="inlineStr">
        <is>
          <t>Detalle</t>
        </is>
      </c>
      <c r="C41" s="17">
        <f>"Año 1 ("&amp;TEXT($C$2+(-4),"0")&amp;")"</f>
        <v/>
      </c>
      <c r="D41" s="17">
        <f>"Año 2 ("&amp;TEXT($C$2+(-3),"0")&amp;")"</f>
        <v/>
      </c>
      <c r="E41" s="17">
        <f>"Año 3 ("&amp;TEXT($C$2+(-2),"0")&amp;")"</f>
        <v/>
      </c>
      <c r="F41" s="17">
        <f>"Año 4 ("&amp;TEXT($C$2+(-1),"0")&amp;")"</f>
        <v/>
      </c>
      <c r="G41" s="17">
        <f>"Año 5 ("&amp;TEXT($C$2+(0),"0")&amp;")"</f>
        <v/>
      </c>
      <c r="H41" s="29">
        <f>"Año 6 ("&amp;TEXT($C$2+(1),"0")&amp;")"</f>
        <v/>
      </c>
      <c r="I41" s="29">
        <f>"Año 7 ("&amp;TEXT($C$2+(2),"0")&amp;")"</f>
        <v/>
      </c>
      <c r="J41" s="29">
        <f>"Año 8 ("&amp;TEXT($C$2+(3),"0")&amp;")"</f>
        <v/>
      </c>
      <c r="K41" s="29">
        <f>"Año 9 ("&amp;TEXT($C$2+(4),"0")&amp;")"</f>
        <v/>
      </c>
      <c r="L41" s="29">
        <f>"Año 10 ("&amp;TEXT($C$2+(5),"0")&amp;")"</f>
        <v/>
      </c>
      <c r="M41" s="17" t="inlineStr">
        <is>
          <t>Observaciones</t>
        </is>
      </c>
    </row>
    <row r="42" ht="16" customHeight="1">
      <c r="B42" s="54" t="inlineStr">
        <is>
          <t>Oferta histórica (unidades)</t>
        </is>
      </c>
      <c r="C42" s="11" t="n"/>
      <c r="D42" s="11" t="n"/>
      <c r="E42" s="11" t="n"/>
      <c r="F42" s="11" t="n"/>
      <c r="G42" s="11" t="n"/>
      <c r="H42" s="19" t="n"/>
      <c r="I42" s="19" t="n"/>
      <c r="J42" s="19" t="n"/>
      <c r="K42" s="19" t="n"/>
      <c r="L42" s="19" t="n"/>
      <c r="M42" s="4" t="inlineStr">
        <is>
          <t>Datos de oferta del sector (INE, encuestas, visitas a competidores)</t>
        </is>
      </c>
    </row>
    <row r="43" ht="16" customHeight="1">
      <c r="B43" s="30" t="inlineStr">
        <is>
          <t>Tasa de crecimiento oferta (%/año)</t>
        </is>
      </c>
      <c r="C43" s="41" t="n">
        <v>0.025</v>
      </c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4" t="inlineStr">
        <is>
          <t>Estimado sectorial — puede diferir de la demanda</t>
        </is>
      </c>
    </row>
    <row r="44" ht="26" customHeight="1">
      <c r="B44" s="42" t="inlineStr">
        <is>
          <t xml:space="preserve">  Oferta proyectada  Año 6 – Año 10</t>
        </is>
      </c>
      <c r="C44" s="18" t="inlineStr">
        <is>
          <t>Oferta proyectada Año 6–10</t>
        </is>
      </c>
      <c r="D44" s="19" t="n"/>
      <c r="E44" s="19" t="n"/>
      <c r="F44" s="19" t="n"/>
      <c r="G44" s="19" t="n"/>
      <c r="H44" s="29">
        <f>"Año 6 ("&amp;TEXT($C$2+(1),"0")&amp;")"</f>
        <v/>
      </c>
      <c r="I44" s="29">
        <f>"Año 7 ("&amp;TEXT($C$2+(2),"0")&amp;")"</f>
        <v/>
      </c>
      <c r="J44" s="29">
        <f>"Año 8 ("&amp;TEXT($C$2+(3),"0")&amp;")"</f>
        <v/>
      </c>
      <c r="K44" s="29">
        <f>"Año 9 ("&amp;TEXT($C$2+(4),"0")&amp;")"</f>
        <v/>
      </c>
      <c r="L44" s="29">
        <f>"Año 10 ("&amp;TEXT($C$2+(5),"0")&amp;")"</f>
        <v/>
      </c>
      <c r="M44" s="17" t="inlineStr">
        <is>
          <t>Observaciones</t>
        </is>
      </c>
    </row>
    <row r="45" ht="16" customHeight="1">
      <c r="B45" s="43" t="inlineStr">
        <is>
          <t>Oferta Proyectada</t>
        </is>
      </c>
      <c r="C45" s="19" t="n"/>
      <c r="D45" s="19" t="n"/>
      <c r="E45" s="19" t="n"/>
      <c r="F45" s="19" t="n"/>
      <c r="G45" s="19" t="n"/>
      <c r="H45" s="44">
        <f>IFERROR(ROUND(G42*(1+$C$43),0),0)</f>
        <v/>
      </c>
      <c r="I45" s="44">
        <f>IFERROR(ROUND(H45*(1+$C$43),0),0)</f>
        <v/>
      </c>
      <c r="J45" s="44">
        <f>IFERROR(ROUND(I45*(1+$C$43),0),0)</f>
        <v/>
      </c>
      <c r="K45" s="44">
        <f>IFERROR(ROUND(J45*(1+$C$43),0),0)</f>
        <v/>
      </c>
      <c r="L45" s="44">
        <f>IFERROR(ROUND(K45*(1+$C$43),0),0)</f>
        <v/>
      </c>
      <c r="M45" s="4" t="inlineStr">
        <is>
          <t>Proyectada desde Año 5 histórico con tasa oferta</t>
        </is>
      </c>
    </row>
    <row r="46"/>
    <row r="47" ht="20" customHeight="1">
      <c r="B47" s="9" t="inlineStr">
        <is>
          <t>5. BALANCE OFERTA – DEMANDA  (DEMANDA INSATISFECHA)  Año 6–10</t>
        </is>
      </c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2" t="n"/>
    </row>
    <row r="48" ht="26" customHeight="1">
      <c r="B48" s="17" t="inlineStr">
        <is>
          <t>Detalle</t>
        </is>
      </c>
      <c r="C48" s="18" t="inlineStr">
        <is>
          <t>Parámetro</t>
        </is>
      </c>
      <c r="D48" s="19" t="n"/>
      <c r="E48" s="19" t="n"/>
      <c r="F48" s="19" t="n"/>
      <c r="G48" s="19" t="n"/>
      <c r="H48" s="29">
        <f>"Año 6 ("&amp;TEXT($C$2+(1),"0")&amp;")"</f>
        <v/>
      </c>
      <c r="I48" s="29">
        <f>"Año 7 ("&amp;TEXT($C$2+(2),"0")&amp;")"</f>
        <v/>
      </c>
      <c r="J48" s="29">
        <f>"Año 8 ("&amp;TEXT($C$2+(3),"0")&amp;")"</f>
        <v/>
      </c>
      <c r="K48" s="29">
        <f>"Año 9 ("&amp;TEXT($C$2+(4),"0")&amp;")"</f>
        <v/>
      </c>
      <c r="L48" s="29">
        <f>"Año 10 ("&amp;TEXT($C$2+(5),"0")&amp;")"</f>
        <v/>
      </c>
      <c r="M48" s="17" t="inlineStr">
        <is>
          <t>Observaciones</t>
        </is>
      </c>
    </row>
    <row r="49" ht="16" customHeight="1">
      <c r="B49" s="43" t="inlineStr">
        <is>
          <t>Demanda Efectiva Proyectada</t>
        </is>
      </c>
      <c r="C49" s="12" t="n"/>
      <c r="D49" s="19" t="n"/>
      <c r="E49" s="19" t="n"/>
      <c r="F49" s="19" t="n"/>
      <c r="G49" s="19" t="n"/>
      <c r="H49" s="44">
        <f>H38</f>
        <v/>
      </c>
      <c r="I49" s="44">
        <f>I38</f>
        <v/>
      </c>
      <c r="J49" s="44">
        <f>J38</f>
        <v/>
      </c>
      <c r="K49" s="44">
        <f>K38</f>
        <v/>
      </c>
      <c r="L49" s="44">
        <f>L38</f>
        <v/>
      </c>
    </row>
    <row r="50" ht="16" customHeight="1">
      <c r="B50" s="57" t="inlineStr">
        <is>
          <t>Oferta Proyectada</t>
        </is>
      </c>
      <c r="C50" s="15" t="n"/>
      <c r="D50" s="19" t="n"/>
      <c r="E50" s="19" t="n"/>
      <c r="F50" s="19" t="n"/>
      <c r="G50" s="19" t="n"/>
      <c r="H50" s="24">
        <f>H45</f>
        <v/>
      </c>
      <c r="I50" s="24">
        <f>I45</f>
        <v/>
      </c>
      <c r="J50" s="24">
        <f>J45</f>
        <v/>
      </c>
      <c r="K50" s="24">
        <f>K45</f>
        <v/>
      </c>
      <c r="L50" s="24">
        <f>L45</f>
        <v/>
      </c>
    </row>
    <row r="51" ht="16" customHeight="1">
      <c r="B51" s="39" t="inlineStr">
        <is>
          <t>▶ DEMANDA INSATISFECHA</t>
        </is>
      </c>
      <c r="C51" s="45" t="n"/>
      <c r="D51" s="19" t="n"/>
      <c r="E51" s="19" t="n"/>
      <c r="F51" s="19" t="n"/>
      <c r="G51" s="19" t="n"/>
      <c r="H51" s="40">
        <f>IFERROR(H49-H50,0)</f>
        <v/>
      </c>
      <c r="I51" s="40">
        <f>IFERROR(I49-I50,0)</f>
        <v/>
      </c>
      <c r="J51" s="40">
        <f>IFERROR(J49-J50,0)</f>
        <v/>
      </c>
      <c r="K51" s="40">
        <f>IFERROR(K49-K50,0)</f>
        <v/>
      </c>
      <c r="L51" s="40">
        <f>IFERROR(L49-L50,0)</f>
        <v/>
      </c>
    </row>
    <row r="52" ht="16" customHeight="1">
      <c r="B52" s="57" t="inlineStr">
        <is>
          <t xml:space="preserve">  % Satisfecho  (dato encuesta)</t>
        </is>
      </c>
      <c r="C52" s="63" t="n"/>
      <c r="D52" s="19" t="n"/>
      <c r="E52" s="19" t="n"/>
      <c r="F52" s="19" t="n"/>
      <c r="G52" s="19" t="n"/>
      <c r="H52" s="35">
        <f>$C$52</f>
        <v/>
      </c>
      <c r="I52" s="35">
        <f>$C$52</f>
        <v/>
      </c>
      <c r="J52" s="35">
        <f>$C$52</f>
        <v/>
      </c>
      <c r="K52" s="35">
        <f>$C$52</f>
        <v/>
      </c>
      <c r="L52" s="35">
        <f>$C$52</f>
        <v/>
      </c>
      <c r="M52" s="4" t="inlineStr">
        <is>
          <t>Dato encuesta P13 satisfacción oferta actual</t>
        </is>
      </c>
    </row>
    <row r="53" ht="16" customHeight="1">
      <c r="B53" s="57" t="inlineStr">
        <is>
          <t xml:space="preserve">  % Insatisfecho (complemento)</t>
        </is>
      </c>
      <c r="C53" s="64">
        <f>IFERROR(1-$C$52,0)</f>
        <v/>
      </c>
      <c r="D53" s="19" t="n"/>
      <c r="E53" s="19" t="n"/>
      <c r="F53" s="19" t="n"/>
      <c r="G53" s="19" t="n"/>
      <c r="H53" s="20">
        <f>IFERROR(1-$C$52,0)</f>
        <v/>
      </c>
      <c r="I53" s="20">
        <f>IFERROR(1-$C$52,0)</f>
        <v/>
      </c>
      <c r="J53" s="20">
        <f>IFERROR(1-$C$52,0)</f>
        <v/>
      </c>
      <c r="K53" s="20">
        <f>IFERROR(1-$C$52,0)</f>
        <v/>
      </c>
      <c r="L53" s="20">
        <f>IFERROR(1-$C$52,0)</f>
        <v/>
      </c>
      <c r="M53" s="4" t="inlineStr">
        <is>
          <t>Complemento automático</t>
        </is>
      </c>
    </row>
    <row r="54"/>
    <row r="55" ht="20" customHeight="1">
      <c r="B55" s="9" t="inlineStr">
        <is>
          <t>6. PARTICIPACIÓN DE MERCADO Y DEMANDA OBJETIVO  Año 6–10</t>
        </is>
      </c>
      <c r="C55" s="61" t="n"/>
      <c r="D55" s="61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2" t="n"/>
    </row>
    <row r="56" ht="26" customHeight="1">
      <c r="B56" s="17" t="inlineStr">
        <is>
          <t>Detalle</t>
        </is>
      </c>
      <c r="C56" s="18" t="inlineStr">
        <is>
          <t>Parámetro</t>
        </is>
      </c>
      <c r="D56" s="19" t="n"/>
      <c r="E56" s="19" t="n"/>
      <c r="F56" s="19" t="n"/>
      <c r="G56" s="19" t="n"/>
      <c r="H56" s="29">
        <f>"Año 6 ("&amp;TEXT($C$2+(1),"0")&amp;")"</f>
        <v/>
      </c>
      <c r="I56" s="29">
        <f>"Año 7 ("&amp;TEXT($C$2+(2),"0")&amp;")"</f>
        <v/>
      </c>
      <c r="J56" s="29">
        <f>"Año 8 ("&amp;TEXT($C$2+(3),"0")&amp;")"</f>
        <v/>
      </c>
      <c r="K56" s="29">
        <f>"Año 9 ("&amp;TEXT($C$2+(4),"0")&amp;")"</f>
        <v/>
      </c>
      <c r="L56" s="29">
        <f>"Año 10 ("&amp;TEXT($C$2+(5),"0")&amp;")"</f>
        <v/>
      </c>
      <c r="M56" s="17" t="inlineStr">
        <is>
          <t>Observaciones</t>
        </is>
      </c>
    </row>
    <row r="57" ht="16" customHeight="1">
      <c r="B57" s="30" t="inlineStr">
        <is>
          <t>% Captación de la Demanda Insatisfecha</t>
        </is>
      </c>
      <c r="C57" s="63" t="n"/>
      <c r="D57" s="19" t="n"/>
      <c r="E57" s="19" t="n"/>
      <c r="F57" s="19" t="n"/>
      <c r="G57" s="19" t="n"/>
      <c r="H57" s="20">
        <f>$C$57</f>
        <v/>
      </c>
      <c r="I57" s="20">
        <f>IFERROR($C$57*(1+$C$58)^1,0)</f>
        <v/>
      </c>
      <c r="J57" s="20">
        <f>IFERROR($C$57*(1+$C$58)^2,0)</f>
        <v/>
      </c>
      <c r="K57" s="20">
        <f>IFERROR($C$57*(1+$C$58)^3,0)</f>
        <v/>
      </c>
      <c r="L57" s="20">
        <f>IFERROR($C$57*(1+$C$58)^4,0)</f>
        <v/>
      </c>
      <c r="M57" s="4" t="inlineStr">
        <is>
          <t>Participación objetivo (ej: 0.33%)</t>
        </is>
      </c>
    </row>
    <row r="58" ht="16" customHeight="1">
      <c r="B58" s="57" t="inlineStr">
        <is>
          <t xml:space="preserve">  Incremento anual del % captación</t>
        </is>
      </c>
      <c r="C58" s="63" t="n"/>
      <c r="D58" s="19" t="n"/>
      <c r="E58" s="19" t="n"/>
      <c r="F58" s="19" t="n"/>
      <c r="G58" s="19" t="n"/>
      <c r="H58" s="34" t="inlineStr">
        <is>
          <t>0</t>
        </is>
      </c>
      <c r="I58" s="34">
        <f>IFERROR((1+$C$58)^1-1,0)</f>
        <v/>
      </c>
      <c r="J58" s="34">
        <f>IFERROR((1+$C$58)^2-1,0)</f>
        <v/>
      </c>
      <c r="K58" s="34">
        <f>IFERROR((1+$C$58)^3-1,0)</f>
        <v/>
      </c>
      <c r="L58" s="34">
        <f>IFERROR((1+$C$58)^4-1,0)</f>
        <v/>
      </c>
      <c r="M58" s="4" t="inlineStr">
        <is>
          <t>Ej: 5% de crecimiento anual del % captación (dejar en 0 si constante)</t>
        </is>
      </c>
    </row>
    <row r="59" ht="16" customHeight="1">
      <c r="B59" s="39" t="inlineStr">
        <is>
          <t>▶ DEMANDA OBJETIVO TOTAL  (productos/año)</t>
        </is>
      </c>
      <c r="C59" s="45" t="n"/>
      <c r="D59" s="19" t="n"/>
      <c r="E59" s="19" t="n"/>
      <c r="F59" s="19" t="n"/>
      <c r="G59" s="19" t="n"/>
      <c r="H59" s="40">
        <f>IFERROR(ROUND(H51*($C$57),0),0)</f>
        <v/>
      </c>
      <c r="I59" s="40">
        <f>IFERROR(ROUND(I51*($C$57*(1+$C$58)^1),0),0)</f>
        <v/>
      </c>
      <c r="J59" s="40">
        <f>IFERROR(ROUND(J51*($C$57*(1+$C$58)^2),0),0)</f>
        <v/>
      </c>
      <c r="K59" s="40">
        <f>IFERROR(ROUND(K51*($C$57*(1+$C$58)^3),0),0)</f>
        <v/>
      </c>
      <c r="L59" s="40">
        <f>IFERROR(ROUND(L51*($C$57*(1+$C$58)^4),0),0)</f>
        <v/>
      </c>
      <c r="M59" s="4" t="inlineStr">
        <is>
          <t>DI × %captación × (1+crec)^n</t>
        </is>
      </c>
    </row>
    <row r="60"/>
    <row r="61" ht="20" customHeight="1">
      <c r="B61" s="9" t="inlineStr">
        <is>
          <t>7. DISTRIBUCIÓN DEMANDA OBJETIVO POR PRODUCTO/SERVICIO  (1–10 ítems)  Año 6–10</t>
        </is>
      </c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  <c r="L61" s="61" t="n"/>
      <c r="M61" s="62" t="n"/>
    </row>
    <row r="62" ht="26" customHeight="1">
      <c r="B62" s="17" t="inlineStr">
        <is>
          <t>Producto / Servicio</t>
        </is>
      </c>
      <c r="C62" s="18" t="inlineStr">
        <is>
          <t>% Partic.</t>
        </is>
      </c>
      <c r="D62" s="19" t="n"/>
      <c r="E62" s="19" t="n"/>
      <c r="F62" s="19" t="n"/>
      <c r="G62" s="19" t="n"/>
      <c r="H62" s="29">
        <f>"Año 6 ("&amp;TEXT($C$2+(1),"0")&amp;")"</f>
        <v/>
      </c>
      <c r="I62" s="29">
        <f>"Año 7 ("&amp;TEXT($C$2+(2),"0")&amp;")"</f>
        <v/>
      </c>
      <c r="J62" s="29">
        <f>"Año 8 ("&amp;TEXT($C$2+(3),"0")&amp;")"</f>
        <v/>
      </c>
      <c r="K62" s="29">
        <f>"Año 9 ("&amp;TEXT($C$2+(4),"0")&amp;")"</f>
        <v/>
      </c>
      <c r="L62" s="29">
        <f>"Año 10 ("&amp;TEXT($C$2+(5),"0")&amp;")"</f>
        <v/>
      </c>
      <c r="M62" s="17" t="inlineStr"/>
    </row>
    <row r="63" ht="17" customHeight="1">
      <c r="B63" s="39" t="inlineStr">
        <is>
          <t>DEMANDA OBJETIVO  (referencia por año)</t>
        </is>
      </c>
      <c r="C63" s="65" t="inlineStr">
        <is>
          <t>100%</t>
        </is>
      </c>
      <c r="D63" s="19" t="n"/>
      <c r="E63" s="19" t="n"/>
      <c r="F63" s="19" t="n"/>
      <c r="G63" s="19" t="n"/>
      <c r="H63" s="40">
        <f>H59</f>
        <v/>
      </c>
      <c r="I63" s="40">
        <f>I59</f>
        <v/>
      </c>
      <c r="J63" s="40">
        <f>J59</f>
        <v/>
      </c>
      <c r="K63" s="40">
        <f>K59</f>
        <v/>
      </c>
      <c r="L63" s="40">
        <f>L59</f>
        <v/>
      </c>
    </row>
    <row r="64" ht="16" customHeight="1">
      <c r="B64" s="46" t="inlineStr">
        <is>
          <t>Producto 1</t>
        </is>
      </c>
      <c r="C64" s="63" t="n"/>
      <c r="D64" s="19" t="n"/>
      <c r="E64" s="19" t="n"/>
      <c r="F64" s="19" t="n"/>
      <c r="G64" s="19" t="n"/>
      <c r="H64" s="33">
        <f>IFERROR(ROUND(H59*C64,0),0)</f>
        <v/>
      </c>
      <c r="I64" s="33">
        <f>IFERROR(ROUND(I59*C64,0),0)</f>
        <v/>
      </c>
      <c r="J64" s="33">
        <f>IFERROR(ROUND(J59*C64,0),0)</f>
        <v/>
      </c>
      <c r="K64" s="33">
        <f>IFERROR(ROUND(K59*C64,0),0)</f>
        <v/>
      </c>
      <c r="L64" s="33">
        <f>IFERROR(ROUND(L59*C64,0),0)</f>
        <v/>
      </c>
    </row>
    <row r="65" ht="16" customHeight="1">
      <c r="B65" s="46" t="inlineStr">
        <is>
          <t>Producto 2</t>
        </is>
      </c>
      <c r="C65" s="63" t="n"/>
      <c r="D65" s="19" t="n"/>
      <c r="E65" s="19" t="n"/>
      <c r="F65" s="19" t="n"/>
      <c r="G65" s="19" t="n"/>
      <c r="H65" s="24">
        <f>IFERROR(ROUND(H59*C65,0),0)</f>
        <v/>
      </c>
      <c r="I65" s="24">
        <f>IFERROR(ROUND(I59*C65,0),0)</f>
        <v/>
      </c>
      <c r="J65" s="24">
        <f>IFERROR(ROUND(J59*C65,0),0)</f>
        <v/>
      </c>
      <c r="K65" s="24">
        <f>IFERROR(ROUND(K59*C65,0),0)</f>
        <v/>
      </c>
      <c r="L65" s="24">
        <f>IFERROR(ROUND(L59*C65,0),0)</f>
        <v/>
      </c>
    </row>
    <row r="66" ht="16" customHeight="1">
      <c r="B66" s="46" t="inlineStr">
        <is>
          <t>Producto 3</t>
        </is>
      </c>
      <c r="C66" s="63" t="n"/>
      <c r="D66" s="19" t="n"/>
      <c r="E66" s="19" t="n"/>
      <c r="F66" s="19" t="n"/>
      <c r="G66" s="19" t="n"/>
      <c r="H66" s="33">
        <f>IFERROR(ROUND(H59*C66,0),0)</f>
        <v/>
      </c>
      <c r="I66" s="33">
        <f>IFERROR(ROUND(I59*C66,0),0)</f>
        <v/>
      </c>
      <c r="J66" s="33">
        <f>IFERROR(ROUND(J59*C66,0),0)</f>
        <v/>
      </c>
      <c r="K66" s="33">
        <f>IFERROR(ROUND(K59*C66,0),0)</f>
        <v/>
      </c>
      <c r="L66" s="33">
        <f>IFERROR(ROUND(L59*C66,0),0)</f>
        <v/>
      </c>
    </row>
    <row r="67" ht="16" customHeight="1">
      <c r="B67" s="46" t="inlineStr">
        <is>
          <t>Producto 4</t>
        </is>
      </c>
      <c r="C67" s="63" t="n"/>
      <c r="D67" s="19" t="n"/>
      <c r="E67" s="19" t="n"/>
      <c r="F67" s="19" t="n"/>
      <c r="G67" s="19" t="n"/>
      <c r="H67" s="24">
        <f>IFERROR(ROUND(H59*C67,0),0)</f>
        <v/>
      </c>
      <c r="I67" s="24">
        <f>IFERROR(ROUND(I59*C67,0),0)</f>
        <v/>
      </c>
      <c r="J67" s="24">
        <f>IFERROR(ROUND(J59*C67,0),0)</f>
        <v/>
      </c>
      <c r="K67" s="24">
        <f>IFERROR(ROUND(K59*C67,0),0)</f>
        <v/>
      </c>
      <c r="L67" s="24">
        <f>IFERROR(ROUND(L59*C67,0),0)</f>
        <v/>
      </c>
    </row>
    <row r="68" ht="16" customHeight="1">
      <c r="B68" s="46" t="inlineStr">
        <is>
          <t>Producto 5</t>
        </is>
      </c>
      <c r="C68" s="63" t="n"/>
      <c r="D68" s="19" t="n"/>
      <c r="E68" s="19" t="n"/>
      <c r="F68" s="19" t="n"/>
      <c r="G68" s="19" t="n"/>
      <c r="H68" s="33">
        <f>IFERROR(ROUND(H59*C68,0),0)</f>
        <v/>
      </c>
      <c r="I68" s="33">
        <f>IFERROR(ROUND(I59*C68,0),0)</f>
        <v/>
      </c>
      <c r="J68" s="33">
        <f>IFERROR(ROUND(J59*C68,0),0)</f>
        <v/>
      </c>
      <c r="K68" s="33">
        <f>IFERROR(ROUND(K59*C68,0),0)</f>
        <v/>
      </c>
      <c r="L68" s="33">
        <f>IFERROR(ROUND(L59*C68,0),0)</f>
        <v/>
      </c>
    </row>
    <row r="69" ht="16" customHeight="1">
      <c r="B69" s="46" t="inlineStr">
        <is>
          <t>Producto 6</t>
        </is>
      </c>
      <c r="C69" s="63" t="n"/>
      <c r="D69" s="19" t="n"/>
      <c r="E69" s="19" t="n"/>
      <c r="F69" s="19" t="n"/>
      <c r="G69" s="19" t="n"/>
      <c r="H69" s="24">
        <f>IFERROR(ROUND(H59*C69,0),0)</f>
        <v/>
      </c>
      <c r="I69" s="24">
        <f>IFERROR(ROUND(I59*C69,0),0)</f>
        <v/>
      </c>
      <c r="J69" s="24">
        <f>IFERROR(ROUND(J59*C69,0),0)</f>
        <v/>
      </c>
      <c r="K69" s="24">
        <f>IFERROR(ROUND(K59*C69,0),0)</f>
        <v/>
      </c>
      <c r="L69" s="24">
        <f>IFERROR(ROUND(L59*C69,0),0)</f>
        <v/>
      </c>
    </row>
    <row r="70" ht="16" customHeight="1">
      <c r="B70" s="46" t="inlineStr">
        <is>
          <t>Producto 7</t>
        </is>
      </c>
      <c r="C70" s="63" t="n"/>
      <c r="D70" s="19" t="n"/>
      <c r="E70" s="19" t="n"/>
      <c r="F70" s="19" t="n"/>
      <c r="G70" s="19" t="n"/>
      <c r="H70" s="33">
        <f>IFERROR(ROUND(H59*C70,0),0)</f>
        <v/>
      </c>
      <c r="I70" s="33">
        <f>IFERROR(ROUND(I59*C70,0),0)</f>
        <v/>
      </c>
      <c r="J70" s="33">
        <f>IFERROR(ROUND(J59*C70,0),0)</f>
        <v/>
      </c>
      <c r="K70" s="33">
        <f>IFERROR(ROUND(K59*C70,0),0)</f>
        <v/>
      </c>
      <c r="L70" s="33">
        <f>IFERROR(ROUND(L59*C70,0),0)</f>
        <v/>
      </c>
    </row>
    <row r="71" ht="16" customHeight="1">
      <c r="B71" s="46" t="inlineStr">
        <is>
          <t>Producto 8</t>
        </is>
      </c>
      <c r="C71" s="63" t="n"/>
      <c r="D71" s="19" t="n"/>
      <c r="E71" s="19" t="n"/>
      <c r="F71" s="19" t="n"/>
      <c r="G71" s="19" t="n"/>
      <c r="H71" s="24">
        <f>IFERROR(ROUND(H59*C71,0),0)</f>
        <v/>
      </c>
      <c r="I71" s="24">
        <f>IFERROR(ROUND(I59*C71,0),0)</f>
        <v/>
      </c>
      <c r="J71" s="24">
        <f>IFERROR(ROUND(J59*C71,0),0)</f>
        <v/>
      </c>
      <c r="K71" s="24">
        <f>IFERROR(ROUND(K59*C71,0),0)</f>
        <v/>
      </c>
      <c r="L71" s="24">
        <f>IFERROR(ROUND(L59*C71,0),0)</f>
        <v/>
      </c>
    </row>
    <row r="72" ht="16" customHeight="1">
      <c r="B72" s="46" t="inlineStr">
        <is>
          <t>Producto 9</t>
        </is>
      </c>
      <c r="C72" s="63" t="n"/>
      <c r="D72" s="19" t="n"/>
      <c r="E72" s="19" t="n"/>
      <c r="F72" s="19" t="n"/>
      <c r="G72" s="19" t="n"/>
      <c r="H72" s="33">
        <f>IFERROR(ROUND(H59*C72,0),0)</f>
        <v/>
      </c>
      <c r="I72" s="33">
        <f>IFERROR(ROUND(I59*C72,0),0)</f>
        <v/>
      </c>
      <c r="J72" s="33">
        <f>IFERROR(ROUND(J59*C72,0),0)</f>
        <v/>
      </c>
      <c r="K72" s="33">
        <f>IFERROR(ROUND(K59*C72,0),0)</f>
        <v/>
      </c>
      <c r="L72" s="33">
        <f>IFERROR(ROUND(L59*C72,0),0)</f>
        <v/>
      </c>
    </row>
    <row r="73" ht="16" customHeight="1">
      <c r="B73" s="46" t="inlineStr">
        <is>
          <t>Producto 10</t>
        </is>
      </c>
      <c r="C73" s="63" t="n"/>
      <c r="D73" s="19" t="n"/>
      <c r="E73" s="19" t="n"/>
      <c r="F73" s="19" t="n"/>
      <c r="G73" s="19" t="n"/>
      <c r="H73" s="24">
        <f>IFERROR(ROUND(H59*C73,0),0)</f>
        <v/>
      </c>
      <c r="I73" s="24">
        <f>IFERROR(ROUND(I59*C73,0),0)</f>
        <v/>
      </c>
      <c r="J73" s="24">
        <f>IFERROR(ROUND(J59*C73,0),0)</f>
        <v/>
      </c>
      <c r="K73" s="24">
        <f>IFERROR(ROUND(K59*C73,0),0)</f>
        <v/>
      </c>
      <c r="L73" s="24">
        <f>IFERROR(ROUND(L59*C73,0),0)</f>
        <v/>
      </c>
    </row>
    <row r="74" ht="18" customHeight="1">
      <c r="B74" s="66" t="inlineStr">
        <is>
          <t>TOTAL</t>
        </is>
      </c>
      <c r="C74" s="67">
        <f>IFERROR(SUM(C64:C73),0)</f>
        <v/>
      </c>
      <c r="D74" s="19" t="n"/>
      <c r="E74" s="19" t="n"/>
      <c r="F74" s="19" t="n"/>
      <c r="G74" s="19" t="n"/>
      <c r="H74" s="68">
        <f>IFERROR(SUM(H64:H73),0)</f>
        <v/>
      </c>
      <c r="I74" s="68">
        <f>IFERROR(SUM(I64:I73),0)</f>
        <v/>
      </c>
      <c r="J74" s="68">
        <f>IFERROR(SUM(J64:J73),0)</f>
        <v/>
      </c>
      <c r="K74" s="68">
        <f>IFERROR(SUM(K64:K73),0)</f>
        <v/>
      </c>
      <c r="L74" s="68">
        <f>IFERROR(SUM(L64:L73),0)</f>
        <v/>
      </c>
    </row>
    <row r="75" ht="14" customHeight="1">
      <c r="B75" s="50" t="inlineStr">
        <is>
          <t>⚠  Suma de participaciones debe ser exactamente 100%</t>
        </is>
      </c>
      <c r="C75" s="69">
        <f>IF(ABS(C74-1)&lt;0.0005,"✔ OK — suma 100%","✘ REVISAR — no suma 100%")</f>
        <v/>
      </c>
    </row>
    <row r="76" ht="13" customHeight="1"/>
    <row r="77">
      <c r="B77" s="52" t="inlineStr">
        <is>
          <t>LEYENDA:  🟡 Amarillo = INPUT del usuario   🟢 Verde = resultado calculado   🟠 Dorado = Demanda Objetivo   ⬛ Gris = columna no aplica</t>
        </is>
      </c>
    </row>
  </sheetData>
  <mergeCells count="13">
    <mergeCell ref="B3:G3"/>
    <mergeCell ref="B47:M47"/>
    <mergeCell ref="H3:L3"/>
    <mergeCell ref="A1:M1"/>
    <mergeCell ref="B73"/>
    <mergeCell ref="B5:M5"/>
    <mergeCell ref="B19:M19"/>
    <mergeCell ref="B76:M76"/>
    <mergeCell ref="B61:M61"/>
    <mergeCell ref="B14:M14"/>
    <mergeCell ref="B26:M26"/>
    <mergeCell ref="B40:M40"/>
    <mergeCell ref="B55:M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28" customWidth="1" min="13" max="13"/>
  </cols>
  <sheetData>
    <row r="1" ht="28" customHeight="1">
      <c r="A1" s="1" t="inlineStr">
        <is>
          <t>FASE 3 — PRECIOS: PRECIO DE VENTA, PRECIO FACTURADO E INGRESO BRUTO  (Año 6–10)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1" t="n"/>
      <c r="K1" s="61" t="n"/>
      <c r="L1" s="61" t="n"/>
      <c r="M1" s="62" t="n"/>
    </row>
    <row r="2" ht="14" customHeight="1">
      <c r="B2" s="5" t="inlineStr">
        <is>
          <t>◄  PRECIO BASE  (Año 5 = año de inicio del proyecto)</t>
        </is>
      </c>
      <c r="H2" s="7" t="inlineStr">
        <is>
          <t>►  PROYECCIÓN  (Año 6 – Año 10)</t>
        </is>
      </c>
    </row>
    <row r="3" ht="16" customHeight="1">
      <c r="B3" s="2" t="inlineStr">
        <is>
          <t>Inflación / incremento anual de precios:</t>
        </is>
      </c>
      <c r="C3" s="14" t="n">
        <v>0.019</v>
      </c>
      <c r="E3" s="4" t="inlineStr">
        <is>
          <t>Tasa inflación anual (IPC — dato INE o ASFI)</t>
        </is>
      </c>
    </row>
    <row r="4" ht="16" customHeight="1">
      <c r="B4" s="2" t="inlineStr">
        <is>
          <t>Factor impositivo  IT + IVA:</t>
        </is>
      </c>
      <c r="C4" s="53" t="n">
        <v>1.149</v>
      </c>
      <c r="E4" s="4" t="inlineStr">
        <is>
          <t>1.149 = IT 3% + IVA 13%  |  Solo IVA: 1.13  |  Sin impuesto: 1.00</t>
        </is>
      </c>
    </row>
    <row r="5"/>
    <row r="6" ht="20" customHeight="1">
      <c r="B6" s="9" t="inlineStr">
        <is>
          <t>A. PRECIO DE VENTA  (sin impuestos, Bs)</t>
        </is>
      </c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2" t="n"/>
    </row>
    <row r="7" ht="26" customHeight="1">
      <c r="B7" s="17" t="inlineStr">
        <is>
          <t>Producto / Servicio</t>
        </is>
      </c>
      <c r="C7" s="18" t="inlineStr">
        <is>
          <t>Precio Año 5 (Bs)</t>
        </is>
      </c>
      <c r="D7" s="19" t="n"/>
      <c r="E7" s="19" t="n"/>
      <c r="F7" s="19" t="n"/>
      <c r="G7" s="29" t="inlineStr">
        <is>
          <t>Precio base
(Año 5)</t>
        </is>
      </c>
      <c r="H7" s="29">
        <f>"Año 6 ("&amp;TEXT(Demanda!$C$2+(1),"0")&amp;")"</f>
        <v/>
      </c>
      <c r="I7" s="29">
        <f>"Año 7 ("&amp;TEXT(Demanda!$C$2+(2),"0")&amp;")"</f>
        <v/>
      </c>
      <c r="J7" s="29">
        <f>"Año 8 ("&amp;TEXT(Demanda!$C$2+(3),"0")&amp;")"</f>
        <v/>
      </c>
      <c r="K7" s="29">
        <f>"Año 9 ("&amp;TEXT(Demanda!$C$2+(4),"0")&amp;")"</f>
        <v/>
      </c>
      <c r="L7" s="29">
        <f>"Año 10 ("&amp;TEXT(Demanda!$C$2+(5),"0")&amp;")"</f>
        <v/>
      </c>
      <c r="M7" s="17" t="inlineStr">
        <is>
          <t>Notas</t>
        </is>
      </c>
    </row>
    <row r="8" ht="16" customHeight="1">
      <c r="B8" s="54">
        <f>IF(Demanda!B64="","—",Demanda!B64)</f>
        <v/>
      </c>
      <c r="C8" s="19" t="n"/>
      <c r="D8" s="19" t="n"/>
      <c r="E8" s="19" t="n"/>
      <c r="F8" s="19" t="n"/>
      <c r="G8" s="55" t="n"/>
      <c r="H8" s="56">
        <f>IFERROR(IF(G8="","",ROUND(G8*(1+$C$3)^1,2)),"")</f>
        <v/>
      </c>
      <c r="I8" s="56">
        <f>IFERROR(IF(G8="","",ROUND(G8*(1+$C$3)^2,2)),"")</f>
        <v/>
      </c>
      <c r="J8" s="56">
        <f>IFERROR(IF(G8="","",ROUND(G8*(1+$C$3)^3,2)),"")</f>
        <v/>
      </c>
      <c r="K8" s="56">
        <f>IFERROR(IF(G8="","",ROUND(G8*(1+$C$3)^4,2)),"")</f>
        <v/>
      </c>
      <c r="L8" s="56">
        <f>IFERROR(IF(G8="","",ROUND(G8*(1+$C$3)^5,2)),"")</f>
        <v/>
      </c>
    </row>
    <row r="9" ht="16" customHeight="1">
      <c r="B9" s="57">
        <f>IF(Demanda!B65="","—",Demanda!B65)</f>
        <v/>
      </c>
      <c r="C9" s="19" t="n"/>
      <c r="D9" s="19" t="n"/>
      <c r="E9" s="19" t="n"/>
      <c r="F9" s="19" t="n"/>
      <c r="G9" s="55" t="n"/>
      <c r="H9" s="38">
        <f>IFERROR(IF(G9="","",ROUND(G9*(1+$C$3)^1,2)),"")</f>
        <v/>
      </c>
      <c r="I9" s="38">
        <f>IFERROR(IF(G9="","",ROUND(G9*(1+$C$3)^2,2)),"")</f>
        <v/>
      </c>
      <c r="J9" s="38">
        <f>IFERROR(IF(G9="","",ROUND(G9*(1+$C$3)^3,2)),"")</f>
        <v/>
      </c>
      <c r="K9" s="38">
        <f>IFERROR(IF(G9="","",ROUND(G9*(1+$C$3)^4,2)),"")</f>
        <v/>
      </c>
      <c r="L9" s="38">
        <f>IFERROR(IF(G9="","",ROUND(G9*(1+$C$3)^5,2)),"")</f>
        <v/>
      </c>
    </row>
    <row r="10" ht="16" customHeight="1">
      <c r="B10" s="54">
        <f>IF(Demanda!B66="","—",Demanda!B66)</f>
        <v/>
      </c>
      <c r="C10" s="19" t="n"/>
      <c r="D10" s="19" t="n"/>
      <c r="E10" s="19" t="n"/>
      <c r="F10" s="19" t="n"/>
      <c r="G10" s="55" t="n"/>
      <c r="H10" s="56">
        <f>IFERROR(IF(G10="","",ROUND(G10*(1+$C$3)^1,2)),"")</f>
        <v/>
      </c>
      <c r="I10" s="56">
        <f>IFERROR(IF(G10="","",ROUND(G10*(1+$C$3)^2,2)),"")</f>
        <v/>
      </c>
      <c r="J10" s="56">
        <f>IFERROR(IF(G10="","",ROUND(G10*(1+$C$3)^3,2)),"")</f>
        <v/>
      </c>
      <c r="K10" s="56">
        <f>IFERROR(IF(G10="","",ROUND(G10*(1+$C$3)^4,2)),"")</f>
        <v/>
      </c>
      <c r="L10" s="56">
        <f>IFERROR(IF(G10="","",ROUND(G10*(1+$C$3)^5,2)),"")</f>
        <v/>
      </c>
    </row>
    <row r="11" ht="16" customHeight="1">
      <c r="B11" s="57">
        <f>IF(Demanda!B67="","—",Demanda!B67)</f>
        <v/>
      </c>
      <c r="C11" s="19" t="n"/>
      <c r="D11" s="19" t="n"/>
      <c r="E11" s="19" t="n"/>
      <c r="F11" s="19" t="n"/>
      <c r="G11" s="55" t="n"/>
      <c r="H11" s="38">
        <f>IFERROR(IF(G11="","",ROUND(G11*(1+$C$3)^1,2)),"")</f>
        <v/>
      </c>
      <c r="I11" s="38">
        <f>IFERROR(IF(G11="","",ROUND(G11*(1+$C$3)^2,2)),"")</f>
        <v/>
      </c>
      <c r="J11" s="38">
        <f>IFERROR(IF(G11="","",ROUND(G11*(1+$C$3)^3,2)),"")</f>
        <v/>
      </c>
      <c r="K11" s="38">
        <f>IFERROR(IF(G11="","",ROUND(G11*(1+$C$3)^4,2)),"")</f>
        <v/>
      </c>
      <c r="L11" s="38">
        <f>IFERROR(IF(G11="","",ROUND(G11*(1+$C$3)^5,2)),"")</f>
        <v/>
      </c>
    </row>
    <row r="12" ht="16" customHeight="1">
      <c r="B12" s="54">
        <f>IF(Demanda!B68="","—",Demanda!B68)</f>
        <v/>
      </c>
      <c r="C12" s="19" t="n"/>
      <c r="D12" s="19" t="n"/>
      <c r="E12" s="19" t="n"/>
      <c r="F12" s="19" t="n"/>
      <c r="G12" s="55" t="n"/>
      <c r="H12" s="56">
        <f>IFERROR(IF(G12="","",ROUND(G12*(1+$C$3)^1,2)),"")</f>
        <v/>
      </c>
      <c r="I12" s="56">
        <f>IFERROR(IF(G12="","",ROUND(G12*(1+$C$3)^2,2)),"")</f>
        <v/>
      </c>
      <c r="J12" s="56">
        <f>IFERROR(IF(G12="","",ROUND(G12*(1+$C$3)^3,2)),"")</f>
        <v/>
      </c>
      <c r="K12" s="56">
        <f>IFERROR(IF(G12="","",ROUND(G12*(1+$C$3)^4,2)),"")</f>
        <v/>
      </c>
      <c r="L12" s="56">
        <f>IFERROR(IF(G12="","",ROUND(G12*(1+$C$3)^5,2)),"")</f>
        <v/>
      </c>
    </row>
    <row r="13" ht="16" customHeight="1">
      <c r="B13" s="57">
        <f>IF(Demanda!B69="","—",Demanda!B69)</f>
        <v/>
      </c>
      <c r="C13" s="19" t="n"/>
      <c r="D13" s="19" t="n"/>
      <c r="E13" s="19" t="n"/>
      <c r="F13" s="19" t="n"/>
      <c r="G13" s="55" t="n"/>
      <c r="H13" s="38">
        <f>IFERROR(IF(G13="","",ROUND(G13*(1+$C$3)^1,2)),"")</f>
        <v/>
      </c>
      <c r="I13" s="38">
        <f>IFERROR(IF(G13="","",ROUND(G13*(1+$C$3)^2,2)),"")</f>
        <v/>
      </c>
      <c r="J13" s="38">
        <f>IFERROR(IF(G13="","",ROUND(G13*(1+$C$3)^3,2)),"")</f>
        <v/>
      </c>
      <c r="K13" s="38">
        <f>IFERROR(IF(G13="","",ROUND(G13*(1+$C$3)^4,2)),"")</f>
        <v/>
      </c>
      <c r="L13" s="38">
        <f>IFERROR(IF(G13="","",ROUND(G13*(1+$C$3)^5,2)),"")</f>
        <v/>
      </c>
    </row>
    <row r="14" ht="16" customHeight="1">
      <c r="B14" s="54">
        <f>IF(Demanda!B70="","—",Demanda!B70)</f>
        <v/>
      </c>
      <c r="C14" s="19" t="n"/>
      <c r="D14" s="19" t="n"/>
      <c r="E14" s="19" t="n"/>
      <c r="F14" s="19" t="n"/>
      <c r="G14" s="55" t="n"/>
      <c r="H14" s="56">
        <f>IFERROR(IF(G14="","",ROUND(G14*(1+$C$3)^1,2)),"")</f>
        <v/>
      </c>
      <c r="I14" s="56">
        <f>IFERROR(IF(G14="","",ROUND(G14*(1+$C$3)^2,2)),"")</f>
        <v/>
      </c>
      <c r="J14" s="56">
        <f>IFERROR(IF(G14="","",ROUND(G14*(1+$C$3)^3,2)),"")</f>
        <v/>
      </c>
      <c r="K14" s="56">
        <f>IFERROR(IF(G14="","",ROUND(G14*(1+$C$3)^4,2)),"")</f>
        <v/>
      </c>
      <c r="L14" s="56">
        <f>IFERROR(IF(G14="","",ROUND(G14*(1+$C$3)^5,2)),"")</f>
        <v/>
      </c>
    </row>
    <row r="15" ht="16" customHeight="1">
      <c r="B15" s="57">
        <f>IF(Demanda!B71="","—",Demanda!B71)</f>
        <v/>
      </c>
      <c r="C15" s="19" t="n"/>
      <c r="D15" s="19" t="n"/>
      <c r="E15" s="19" t="n"/>
      <c r="F15" s="19" t="n"/>
      <c r="G15" s="55" t="n"/>
      <c r="H15" s="38">
        <f>IFERROR(IF(G15="","",ROUND(G15*(1+$C$3)^1,2)),"")</f>
        <v/>
      </c>
      <c r="I15" s="38">
        <f>IFERROR(IF(G15="","",ROUND(G15*(1+$C$3)^2,2)),"")</f>
        <v/>
      </c>
      <c r="J15" s="38">
        <f>IFERROR(IF(G15="","",ROUND(G15*(1+$C$3)^3,2)),"")</f>
        <v/>
      </c>
      <c r="K15" s="38">
        <f>IFERROR(IF(G15="","",ROUND(G15*(1+$C$3)^4,2)),"")</f>
        <v/>
      </c>
      <c r="L15" s="38">
        <f>IFERROR(IF(G15="","",ROUND(G15*(1+$C$3)^5,2)),"")</f>
        <v/>
      </c>
    </row>
    <row r="16" ht="16" customHeight="1">
      <c r="B16" s="54">
        <f>IF(Demanda!B72="","—",Demanda!B72)</f>
        <v/>
      </c>
      <c r="C16" s="19" t="n"/>
      <c r="D16" s="19" t="n"/>
      <c r="E16" s="19" t="n"/>
      <c r="F16" s="19" t="n"/>
      <c r="G16" s="55" t="n"/>
      <c r="H16" s="56">
        <f>IFERROR(IF(G16="","",ROUND(G16*(1+$C$3)^1,2)),"")</f>
        <v/>
      </c>
      <c r="I16" s="56">
        <f>IFERROR(IF(G16="","",ROUND(G16*(1+$C$3)^2,2)),"")</f>
        <v/>
      </c>
      <c r="J16" s="56">
        <f>IFERROR(IF(G16="","",ROUND(G16*(1+$C$3)^3,2)),"")</f>
        <v/>
      </c>
      <c r="K16" s="56">
        <f>IFERROR(IF(G16="","",ROUND(G16*(1+$C$3)^4,2)),"")</f>
        <v/>
      </c>
      <c r="L16" s="56">
        <f>IFERROR(IF(G16="","",ROUND(G16*(1+$C$3)^5,2)),"")</f>
        <v/>
      </c>
    </row>
    <row r="17" ht="16" customHeight="1">
      <c r="B17" s="57">
        <f>IF(Demanda!B73="","—",Demanda!B73)</f>
        <v/>
      </c>
      <c r="C17" s="19" t="n"/>
      <c r="D17" s="19" t="n"/>
      <c r="E17" s="19" t="n"/>
      <c r="F17" s="19" t="n"/>
      <c r="G17" s="55" t="n"/>
      <c r="H17" s="38">
        <f>IFERROR(IF(G17="","",ROUND(G17*(1+$C$3)^1,2)),"")</f>
        <v/>
      </c>
      <c r="I17" s="38">
        <f>IFERROR(IF(G17="","",ROUND(G17*(1+$C$3)^2,2)),"")</f>
        <v/>
      </c>
      <c r="J17" s="38">
        <f>IFERROR(IF(G17="","",ROUND(G17*(1+$C$3)^3,2)),"")</f>
        <v/>
      </c>
      <c r="K17" s="38">
        <f>IFERROR(IF(G17="","",ROUND(G17*(1+$C$3)^4,2)),"")</f>
        <v/>
      </c>
      <c r="L17" s="38">
        <f>IFERROR(IF(G17="","",ROUND(G17*(1+$C$3)^5,2)),"")</f>
        <v/>
      </c>
    </row>
    <row r="18"/>
    <row r="19" ht="20" customHeight="1">
      <c r="B19" s="9" t="inlineStr">
        <is>
          <t>B. PRECIO FACTURADO  (con IT + IVA  →  precio al consumidor, Bs)</t>
        </is>
      </c>
      <c r="C19" s="61" t="n"/>
      <c r="D19" s="61" t="n"/>
      <c r="E19" s="61" t="n"/>
      <c r="F19" s="61" t="n"/>
      <c r="G19" s="61" t="n"/>
      <c r="H19" s="61" t="n"/>
      <c r="I19" s="61" t="n"/>
      <c r="J19" s="61" t="n"/>
      <c r="K19" s="61" t="n"/>
      <c r="L19" s="61" t="n"/>
      <c r="M19" s="62" t="n"/>
    </row>
    <row r="20" ht="26" customHeight="1">
      <c r="B20" s="17" t="inlineStr">
        <is>
          <t>Producto / Servicio</t>
        </is>
      </c>
      <c r="C20" s="18" t="inlineStr">
        <is>
          <t>Año 5 (base)</t>
        </is>
      </c>
      <c r="D20" s="19" t="n"/>
      <c r="E20" s="19" t="n"/>
      <c r="F20" s="19" t="n"/>
      <c r="G20" s="58" t="inlineStr">
        <is>
          <t>Año 5</t>
        </is>
      </c>
      <c r="H20" s="29">
        <f>"Año 6 ("&amp;TEXT(Demanda!$C$2+(1),"0")&amp;")"</f>
        <v/>
      </c>
      <c r="I20" s="29">
        <f>"Año 7 ("&amp;TEXT(Demanda!$C$2+(2),"0")&amp;")"</f>
        <v/>
      </c>
      <c r="J20" s="29">
        <f>"Año 8 ("&amp;TEXT(Demanda!$C$2+(3),"0")&amp;")"</f>
        <v/>
      </c>
      <c r="K20" s="29">
        <f>"Año 9 ("&amp;TEXT(Demanda!$C$2+(4),"0")&amp;")"</f>
        <v/>
      </c>
      <c r="L20" s="29">
        <f>"Año 10 ("&amp;TEXT(Demanda!$C$2+(5),"0")&amp;")"</f>
        <v/>
      </c>
      <c r="M20" s="17" t="inlineStr"/>
    </row>
    <row r="21" ht="16" customHeight="1">
      <c r="B21" s="54">
        <f>Precios!B8</f>
        <v/>
      </c>
      <c r="C21" s="19" t="n"/>
      <c r="D21" s="19" t="n"/>
      <c r="E21" s="19" t="n"/>
      <c r="F21" s="19" t="n"/>
      <c r="G21" s="56">
        <f>IFERROR(ROUND(G8*$C$4,2),"")</f>
        <v/>
      </c>
      <c r="H21" s="56">
        <f>IFERROR(ROUND(H8*$C$4,2),"")</f>
        <v/>
      </c>
      <c r="I21" s="56">
        <f>IFERROR(ROUND(I8*$C$4,2),"")</f>
        <v/>
      </c>
      <c r="J21" s="56">
        <f>IFERROR(ROUND(J8*$C$4,2),"")</f>
        <v/>
      </c>
      <c r="K21" s="56">
        <f>IFERROR(ROUND(K8*$C$4,2),"")</f>
        <v/>
      </c>
      <c r="L21" s="56">
        <f>IFERROR(ROUND(L8*$C$4,2),"")</f>
        <v/>
      </c>
    </row>
    <row r="22" ht="16" customHeight="1">
      <c r="B22" s="57">
        <f>Precios!B9</f>
        <v/>
      </c>
      <c r="C22" s="19" t="n"/>
      <c r="D22" s="19" t="n"/>
      <c r="E22" s="19" t="n"/>
      <c r="F22" s="19" t="n"/>
      <c r="G22" s="38">
        <f>IFERROR(ROUND(G9*$C$4,2),"")</f>
        <v/>
      </c>
      <c r="H22" s="38">
        <f>IFERROR(ROUND(H9*$C$4,2),"")</f>
        <v/>
      </c>
      <c r="I22" s="38">
        <f>IFERROR(ROUND(I9*$C$4,2),"")</f>
        <v/>
      </c>
      <c r="J22" s="38">
        <f>IFERROR(ROUND(J9*$C$4,2),"")</f>
        <v/>
      </c>
      <c r="K22" s="38">
        <f>IFERROR(ROUND(K9*$C$4,2),"")</f>
        <v/>
      </c>
      <c r="L22" s="38">
        <f>IFERROR(ROUND(L9*$C$4,2),"")</f>
        <v/>
      </c>
    </row>
    <row r="23" ht="16" customHeight="1">
      <c r="B23" s="54">
        <f>Precios!B10</f>
        <v/>
      </c>
      <c r="C23" s="19" t="n"/>
      <c r="D23" s="19" t="n"/>
      <c r="E23" s="19" t="n"/>
      <c r="F23" s="19" t="n"/>
      <c r="G23" s="56">
        <f>IFERROR(ROUND(G10*$C$4,2),"")</f>
        <v/>
      </c>
      <c r="H23" s="56">
        <f>IFERROR(ROUND(H10*$C$4,2),"")</f>
        <v/>
      </c>
      <c r="I23" s="56">
        <f>IFERROR(ROUND(I10*$C$4,2),"")</f>
        <v/>
      </c>
      <c r="J23" s="56">
        <f>IFERROR(ROUND(J10*$C$4,2),"")</f>
        <v/>
      </c>
      <c r="K23" s="56">
        <f>IFERROR(ROUND(K10*$C$4,2),"")</f>
        <v/>
      </c>
      <c r="L23" s="56">
        <f>IFERROR(ROUND(L10*$C$4,2),"")</f>
        <v/>
      </c>
    </row>
    <row r="24" ht="16" customHeight="1">
      <c r="B24" s="57">
        <f>Precios!B11</f>
        <v/>
      </c>
      <c r="C24" s="19" t="n"/>
      <c r="D24" s="19" t="n"/>
      <c r="E24" s="19" t="n"/>
      <c r="F24" s="19" t="n"/>
      <c r="G24" s="38">
        <f>IFERROR(ROUND(G11*$C$4,2),"")</f>
        <v/>
      </c>
      <c r="H24" s="38">
        <f>IFERROR(ROUND(H11*$C$4,2),"")</f>
        <v/>
      </c>
      <c r="I24" s="38">
        <f>IFERROR(ROUND(I11*$C$4,2),"")</f>
        <v/>
      </c>
      <c r="J24" s="38">
        <f>IFERROR(ROUND(J11*$C$4,2),"")</f>
        <v/>
      </c>
      <c r="K24" s="38">
        <f>IFERROR(ROUND(K11*$C$4,2),"")</f>
        <v/>
      </c>
      <c r="L24" s="38">
        <f>IFERROR(ROUND(L11*$C$4,2),"")</f>
        <v/>
      </c>
    </row>
    <row r="25" ht="16" customHeight="1">
      <c r="B25" s="54">
        <f>Precios!B12</f>
        <v/>
      </c>
      <c r="C25" s="19" t="n"/>
      <c r="D25" s="19" t="n"/>
      <c r="E25" s="19" t="n"/>
      <c r="F25" s="19" t="n"/>
      <c r="G25" s="56">
        <f>IFERROR(ROUND(G12*$C$4,2),"")</f>
        <v/>
      </c>
      <c r="H25" s="56">
        <f>IFERROR(ROUND(H12*$C$4,2),"")</f>
        <v/>
      </c>
      <c r="I25" s="56">
        <f>IFERROR(ROUND(I12*$C$4,2),"")</f>
        <v/>
      </c>
      <c r="J25" s="56">
        <f>IFERROR(ROUND(J12*$C$4,2),"")</f>
        <v/>
      </c>
      <c r="K25" s="56">
        <f>IFERROR(ROUND(K12*$C$4,2),"")</f>
        <v/>
      </c>
      <c r="L25" s="56">
        <f>IFERROR(ROUND(L12*$C$4,2),"")</f>
        <v/>
      </c>
    </row>
    <row r="26" ht="16" customHeight="1">
      <c r="B26" s="57">
        <f>Precios!B13</f>
        <v/>
      </c>
      <c r="C26" s="19" t="n"/>
      <c r="D26" s="19" t="n"/>
      <c r="E26" s="19" t="n"/>
      <c r="F26" s="19" t="n"/>
      <c r="G26" s="38">
        <f>IFERROR(ROUND(G13*$C$4,2),"")</f>
        <v/>
      </c>
      <c r="H26" s="38">
        <f>IFERROR(ROUND(H13*$C$4,2),"")</f>
        <v/>
      </c>
      <c r="I26" s="38">
        <f>IFERROR(ROUND(I13*$C$4,2),"")</f>
        <v/>
      </c>
      <c r="J26" s="38">
        <f>IFERROR(ROUND(J13*$C$4,2),"")</f>
        <v/>
      </c>
      <c r="K26" s="38">
        <f>IFERROR(ROUND(K13*$C$4,2),"")</f>
        <v/>
      </c>
      <c r="L26" s="38">
        <f>IFERROR(ROUND(L13*$C$4,2),"")</f>
        <v/>
      </c>
    </row>
    <row r="27" ht="16" customHeight="1">
      <c r="B27" s="54">
        <f>Precios!B14</f>
        <v/>
      </c>
      <c r="C27" s="19" t="n"/>
      <c r="D27" s="19" t="n"/>
      <c r="E27" s="19" t="n"/>
      <c r="F27" s="19" t="n"/>
      <c r="G27" s="56">
        <f>IFERROR(ROUND(G14*$C$4,2),"")</f>
        <v/>
      </c>
      <c r="H27" s="56">
        <f>IFERROR(ROUND(H14*$C$4,2),"")</f>
        <v/>
      </c>
      <c r="I27" s="56">
        <f>IFERROR(ROUND(I14*$C$4,2),"")</f>
        <v/>
      </c>
      <c r="J27" s="56">
        <f>IFERROR(ROUND(J14*$C$4,2),"")</f>
        <v/>
      </c>
      <c r="K27" s="56">
        <f>IFERROR(ROUND(K14*$C$4,2),"")</f>
        <v/>
      </c>
      <c r="L27" s="56">
        <f>IFERROR(ROUND(L14*$C$4,2),"")</f>
        <v/>
      </c>
    </row>
    <row r="28" ht="16" customHeight="1">
      <c r="B28" s="57">
        <f>Precios!B15</f>
        <v/>
      </c>
      <c r="C28" s="19" t="n"/>
      <c r="D28" s="19" t="n"/>
      <c r="E28" s="19" t="n"/>
      <c r="F28" s="19" t="n"/>
      <c r="G28" s="38">
        <f>IFERROR(ROUND(G15*$C$4,2),"")</f>
        <v/>
      </c>
      <c r="H28" s="38">
        <f>IFERROR(ROUND(H15*$C$4,2),"")</f>
        <v/>
      </c>
      <c r="I28" s="38">
        <f>IFERROR(ROUND(I15*$C$4,2),"")</f>
        <v/>
      </c>
      <c r="J28" s="38">
        <f>IFERROR(ROUND(J15*$C$4,2),"")</f>
        <v/>
      </c>
      <c r="K28" s="38">
        <f>IFERROR(ROUND(K15*$C$4,2),"")</f>
        <v/>
      </c>
      <c r="L28" s="38">
        <f>IFERROR(ROUND(L15*$C$4,2),"")</f>
        <v/>
      </c>
    </row>
    <row r="29" ht="16" customHeight="1">
      <c r="B29" s="54">
        <f>Precios!B16</f>
        <v/>
      </c>
      <c r="C29" s="19" t="n"/>
      <c r="D29" s="19" t="n"/>
      <c r="E29" s="19" t="n"/>
      <c r="F29" s="19" t="n"/>
      <c r="G29" s="56">
        <f>IFERROR(ROUND(G16*$C$4,2),"")</f>
        <v/>
      </c>
      <c r="H29" s="56">
        <f>IFERROR(ROUND(H16*$C$4,2),"")</f>
        <v/>
      </c>
      <c r="I29" s="56">
        <f>IFERROR(ROUND(I16*$C$4,2),"")</f>
        <v/>
      </c>
      <c r="J29" s="56">
        <f>IFERROR(ROUND(J16*$C$4,2),"")</f>
        <v/>
      </c>
      <c r="K29" s="56">
        <f>IFERROR(ROUND(K16*$C$4,2),"")</f>
        <v/>
      </c>
      <c r="L29" s="56">
        <f>IFERROR(ROUND(L16*$C$4,2),"")</f>
        <v/>
      </c>
    </row>
    <row r="30" ht="16" customHeight="1">
      <c r="B30" s="57">
        <f>Precios!B17</f>
        <v/>
      </c>
      <c r="C30" s="19" t="n"/>
      <c r="D30" s="19" t="n"/>
      <c r="E30" s="19" t="n"/>
      <c r="F30" s="19" t="n"/>
      <c r="G30" s="38">
        <f>IFERROR(ROUND(G17*$C$4,2),"")</f>
        <v/>
      </c>
      <c r="H30" s="38">
        <f>IFERROR(ROUND(H17*$C$4,2),"")</f>
        <v/>
      </c>
      <c r="I30" s="38">
        <f>IFERROR(ROUND(I17*$C$4,2),"")</f>
        <v/>
      </c>
      <c r="J30" s="38">
        <f>IFERROR(ROUND(J17*$C$4,2),"")</f>
        <v/>
      </c>
      <c r="K30" s="38">
        <f>IFERROR(ROUND(K17*$C$4,2),"")</f>
        <v/>
      </c>
      <c r="L30" s="38">
        <f>IFERROR(ROUND(L17*$C$4,2),"")</f>
        <v/>
      </c>
    </row>
    <row r="31"/>
    <row r="32" ht="20" customHeight="1">
      <c r="B32" s="9" t="inlineStr">
        <is>
          <t>C. INGRESO BRUTO PROYECTADO  (Precio Facturado × Demanda Objetivo por producto, Bs)</t>
        </is>
      </c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2" t="n"/>
    </row>
    <row r="33" ht="26" customHeight="1">
      <c r="B33" s="17" t="inlineStr">
        <is>
          <t>Producto / Servicio</t>
        </is>
      </c>
      <c r="C33" s="18" t="inlineStr">
        <is>
          <t>—</t>
        </is>
      </c>
      <c r="D33" s="19" t="n"/>
      <c r="E33" s="19" t="n"/>
      <c r="F33" s="19" t="n"/>
      <c r="G33" s="19" t="n"/>
      <c r="H33" s="29">
        <f>"Año 6 ("&amp;TEXT(Demanda!$C$2+(1),"0")&amp;")"</f>
        <v/>
      </c>
      <c r="I33" s="29">
        <f>"Año 7 ("&amp;TEXT(Demanda!$C$2+(2),"0")&amp;")"</f>
        <v/>
      </c>
      <c r="J33" s="29">
        <f>"Año 8 ("&amp;TEXT(Demanda!$C$2+(3),"0")&amp;")"</f>
        <v/>
      </c>
      <c r="K33" s="29">
        <f>"Año 9 ("&amp;TEXT(Demanda!$C$2+(4),"0")&amp;")"</f>
        <v/>
      </c>
      <c r="L33" s="29">
        <f>"Año 10 ("&amp;TEXT(Demanda!$C$2+(5),"0")&amp;")"</f>
        <v/>
      </c>
      <c r="M33" s="17" t="inlineStr"/>
    </row>
    <row r="34" ht="16" customHeight="1">
      <c r="B34" s="54">
        <f>Precios!B8</f>
        <v/>
      </c>
      <c r="C34" s="19" t="n"/>
      <c r="D34" s="19" t="n"/>
      <c r="E34" s="19" t="n"/>
      <c r="F34" s="19" t="n"/>
      <c r="G34" s="19" t="n"/>
      <c r="H34" s="56">
        <f>IFERROR(ROUND(H21*Demanda!H64,2),0)</f>
        <v/>
      </c>
      <c r="I34" s="56">
        <f>IFERROR(ROUND(I21*Demanda!I64,2),0)</f>
        <v/>
      </c>
      <c r="J34" s="56">
        <f>IFERROR(ROUND(J21*Demanda!J64,2),0)</f>
        <v/>
      </c>
      <c r="K34" s="56">
        <f>IFERROR(ROUND(K21*Demanda!K64,2),0)</f>
        <v/>
      </c>
      <c r="L34" s="56">
        <f>IFERROR(ROUND(L21*Demanda!L64,2),0)</f>
        <v/>
      </c>
    </row>
    <row r="35" ht="16" customHeight="1">
      <c r="B35" s="57">
        <f>Precios!B9</f>
        <v/>
      </c>
      <c r="C35" s="19" t="n"/>
      <c r="D35" s="19" t="n"/>
      <c r="E35" s="19" t="n"/>
      <c r="F35" s="19" t="n"/>
      <c r="G35" s="19" t="n"/>
      <c r="H35" s="38">
        <f>IFERROR(ROUND(H22*Demanda!H65,2),0)</f>
        <v/>
      </c>
      <c r="I35" s="38">
        <f>IFERROR(ROUND(I22*Demanda!I65,2),0)</f>
        <v/>
      </c>
      <c r="J35" s="38">
        <f>IFERROR(ROUND(J22*Demanda!J65,2),0)</f>
        <v/>
      </c>
      <c r="K35" s="38">
        <f>IFERROR(ROUND(K22*Demanda!K65,2),0)</f>
        <v/>
      </c>
      <c r="L35" s="38">
        <f>IFERROR(ROUND(L22*Demanda!L65,2),0)</f>
        <v/>
      </c>
    </row>
    <row r="36" ht="16" customHeight="1">
      <c r="B36" s="54">
        <f>Precios!B10</f>
        <v/>
      </c>
      <c r="C36" s="19" t="n"/>
      <c r="D36" s="19" t="n"/>
      <c r="E36" s="19" t="n"/>
      <c r="F36" s="19" t="n"/>
      <c r="G36" s="19" t="n"/>
      <c r="H36" s="56">
        <f>IFERROR(ROUND(H23*Demanda!H66,2),0)</f>
        <v/>
      </c>
      <c r="I36" s="56">
        <f>IFERROR(ROUND(I23*Demanda!I66,2),0)</f>
        <v/>
      </c>
      <c r="J36" s="56">
        <f>IFERROR(ROUND(J23*Demanda!J66,2),0)</f>
        <v/>
      </c>
      <c r="K36" s="56">
        <f>IFERROR(ROUND(K23*Demanda!K66,2),0)</f>
        <v/>
      </c>
      <c r="L36" s="56">
        <f>IFERROR(ROUND(L23*Demanda!L66,2),0)</f>
        <v/>
      </c>
    </row>
    <row r="37" ht="16" customHeight="1">
      <c r="B37" s="57">
        <f>Precios!B11</f>
        <v/>
      </c>
      <c r="C37" s="19" t="n"/>
      <c r="D37" s="19" t="n"/>
      <c r="E37" s="19" t="n"/>
      <c r="F37" s="19" t="n"/>
      <c r="G37" s="19" t="n"/>
      <c r="H37" s="38">
        <f>IFERROR(ROUND(H24*Demanda!H67,2),0)</f>
        <v/>
      </c>
      <c r="I37" s="38">
        <f>IFERROR(ROUND(I24*Demanda!I67,2),0)</f>
        <v/>
      </c>
      <c r="J37" s="38">
        <f>IFERROR(ROUND(J24*Demanda!J67,2),0)</f>
        <v/>
      </c>
      <c r="K37" s="38">
        <f>IFERROR(ROUND(K24*Demanda!K67,2),0)</f>
        <v/>
      </c>
      <c r="L37" s="38">
        <f>IFERROR(ROUND(L24*Demanda!L67,2),0)</f>
        <v/>
      </c>
    </row>
    <row r="38" ht="16" customHeight="1">
      <c r="B38" s="54">
        <f>Precios!B12</f>
        <v/>
      </c>
      <c r="C38" s="19" t="n"/>
      <c r="D38" s="19" t="n"/>
      <c r="E38" s="19" t="n"/>
      <c r="F38" s="19" t="n"/>
      <c r="G38" s="19" t="n"/>
      <c r="H38" s="56">
        <f>IFERROR(ROUND(H25*Demanda!H68,2),0)</f>
        <v/>
      </c>
      <c r="I38" s="56">
        <f>IFERROR(ROUND(I25*Demanda!I68,2),0)</f>
        <v/>
      </c>
      <c r="J38" s="56">
        <f>IFERROR(ROUND(J25*Demanda!J68,2),0)</f>
        <v/>
      </c>
      <c r="K38" s="56">
        <f>IFERROR(ROUND(K25*Demanda!K68,2),0)</f>
        <v/>
      </c>
      <c r="L38" s="56">
        <f>IFERROR(ROUND(L25*Demanda!L68,2),0)</f>
        <v/>
      </c>
    </row>
    <row r="39" ht="16" customHeight="1">
      <c r="B39" s="57">
        <f>Precios!B13</f>
        <v/>
      </c>
      <c r="C39" s="19" t="n"/>
      <c r="D39" s="19" t="n"/>
      <c r="E39" s="19" t="n"/>
      <c r="F39" s="19" t="n"/>
      <c r="G39" s="19" t="n"/>
      <c r="H39" s="38">
        <f>IFERROR(ROUND(H26*Demanda!H69,2),0)</f>
        <v/>
      </c>
      <c r="I39" s="38">
        <f>IFERROR(ROUND(I26*Demanda!I69,2),0)</f>
        <v/>
      </c>
      <c r="J39" s="38">
        <f>IFERROR(ROUND(J26*Demanda!J69,2),0)</f>
        <v/>
      </c>
      <c r="K39" s="38">
        <f>IFERROR(ROUND(K26*Demanda!K69,2),0)</f>
        <v/>
      </c>
      <c r="L39" s="38">
        <f>IFERROR(ROUND(L26*Demanda!L69,2),0)</f>
        <v/>
      </c>
    </row>
    <row r="40" ht="16" customHeight="1">
      <c r="B40" s="54">
        <f>Precios!B14</f>
        <v/>
      </c>
      <c r="C40" s="19" t="n"/>
      <c r="D40" s="19" t="n"/>
      <c r="E40" s="19" t="n"/>
      <c r="F40" s="19" t="n"/>
      <c r="G40" s="19" t="n"/>
      <c r="H40" s="56">
        <f>IFERROR(ROUND(H27*Demanda!H70,2),0)</f>
        <v/>
      </c>
      <c r="I40" s="56">
        <f>IFERROR(ROUND(I27*Demanda!I70,2),0)</f>
        <v/>
      </c>
      <c r="J40" s="56">
        <f>IFERROR(ROUND(J27*Demanda!J70,2),0)</f>
        <v/>
      </c>
      <c r="K40" s="56">
        <f>IFERROR(ROUND(K27*Demanda!K70,2),0)</f>
        <v/>
      </c>
      <c r="L40" s="56">
        <f>IFERROR(ROUND(L27*Demanda!L70,2),0)</f>
        <v/>
      </c>
    </row>
    <row r="41" ht="16" customHeight="1">
      <c r="B41" s="57">
        <f>Precios!B15</f>
        <v/>
      </c>
      <c r="C41" s="19" t="n"/>
      <c r="D41" s="19" t="n"/>
      <c r="E41" s="19" t="n"/>
      <c r="F41" s="19" t="n"/>
      <c r="G41" s="19" t="n"/>
      <c r="H41" s="38">
        <f>IFERROR(ROUND(H28*Demanda!H71,2),0)</f>
        <v/>
      </c>
      <c r="I41" s="38">
        <f>IFERROR(ROUND(I28*Demanda!I71,2),0)</f>
        <v/>
      </c>
      <c r="J41" s="38">
        <f>IFERROR(ROUND(J28*Demanda!J71,2),0)</f>
        <v/>
      </c>
      <c r="K41" s="38">
        <f>IFERROR(ROUND(K28*Demanda!K71,2),0)</f>
        <v/>
      </c>
      <c r="L41" s="38">
        <f>IFERROR(ROUND(L28*Demanda!L71,2),0)</f>
        <v/>
      </c>
    </row>
    <row r="42" ht="16" customHeight="1">
      <c r="B42" s="54">
        <f>Precios!B16</f>
        <v/>
      </c>
      <c r="C42" s="19" t="n"/>
      <c r="D42" s="19" t="n"/>
      <c r="E42" s="19" t="n"/>
      <c r="F42" s="19" t="n"/>
      <c r="G42" s="19" t="n"/>
      <c r="H42" s="56">
        <f>IFERROR(ROUND(H29*Demanda!H72,2),0)</f>
        <v/>
      </c>
      <c r="I42" s="56">
        <f>IFERROR(ROUND(I29*Demanda!I72,2),0)</f>
        <v/>
      </c>
      <c r="J42" s="56">
        <f>IFERROR(ROUND(J29*Demanda!J72,2),0)</f>
        <v/>
      </c>
      <c r="K42" s="56">
        <f>IFERROR(ROUND(K29*Demanda!K72,2),0)</f>
        <v/>
      </c>
      <c r="L42" s="56">
        <f>IFERROR(ROUND(L29*Demanda!L72,2),0)</f>
        <v/>
      </c>
    </row>
    <row r="43" ht="16" customHeight="1">
      <c r="B43" s="57">
        <f>Precios!B17</f>
        <v/>
      </c>
      <c r="C43" s="19" t="n"/>
      <c r="D43" s="19" t="n"/>
      <c r="E43" s="19" t="n"/>
      <c r="F43" s="19" t="n"/>
      <c r="G43" s="19" t="n"/>
      <c r="H43" s="38">
        <f>IFERROR(ROUND(H30*Demanda!H73,2),0)</f>
        <v/>
      </c>
      <c r="I43" s="38">
        <f>IFERROR(ROUND(I30*Demanda!I73,2),0)</f>
        <v/>
      </c>
      <c r="J43" s="38">
        <f>IFERROR(ROUND(J30*Demanda!J73,2),0)</f>
        <v/>
      </c>
      <c r="K43" s="38">
        <f>IFERROR(ROUND(K30*Demanda!K73,2),0)</f>
        <v/>
      </c>
      <c r="L43" s="38">
        <f>IFERROR(ROUND(L30*Demanda!L73,2),0)</f>
        <v/>
      </c>
    </row>
    <row r="44" ht="22" customHeight="1">
      <c r="B44" s="47" t="inlineStr">
        <is>
          <t>TOTAL INGRESO BRUTO  (Bs)</t>
        </is>
      </c>
      <c r="C44" s="59" t="n"/>
      <c r="D44" s="59" t="n"/>
      <c r="E44" s="59" t="n"/>
      <c r="F44" s="59" t="n"/>
      <c r="G44" s="59" t="n"/>
      <c r="H44" s="60">
        <f>IFERROR(SUM(H34:H43),0)</f>
        <v/>
      </c>
      <c r="I44" s="60">
        <f>IFERROR(SUM(I34:I43),0)</f>
        <v/>
      </c>
      <c r="J44" s="60">
        <f>IFERROR(SUM(J34:J43),0)</f>
        <v/>
      </c>
      <c r="K44" s="60">
        <f>IFERROR(SUM(K34:K43),0)</f>
        <v/>
      </c>
      <c r="L44" s="60">
        <f>IFERROR(SUM(L34:L43),0)</f>
        <v/>
      </c>
    </row>
    <row r="45"/>
    <row r="46" ht="13" customHeight="1">
      <c r="B46" s="52" t="inlineStr">
        <is>
          <t>LEYENDA:  🟡 Amarillo = parámetros INPUT   🟠 Naranja = precio base a ingresar   🟢 Verde = cálculo automático   ⬛ Gris = no aplica para esa sección</t>
        </is>
      </c>
    </row>
  </sheetData>
  <mergeCells count="8">
    <mergeCell ref="B6:M6"/>
    <mergeCell ref="B2:G2"/>
    <mergeCell ref="H2:L2"/>
    <mergeCell ref="A1:M1"/>
    <mergeCell ref="B19:M19"/>
    <mergeCell ref="B44"/>
    <mergeCell ref="B46:M46"/>
    <mergeCell ref="B32:M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2026-03-17T20:29:46Z</dcterms:created>
  <dcterms:modified xmlns:dcterms="http://purl.org/dc/terms/" xmlns:xsi="http://www.w3.org/2001/XMLSchema-instance" xsi:type="dcterms:W3CDTF">2026-03-17T20:49:58Z</dcterms:modified>
</cp:coreProperties>
</file>